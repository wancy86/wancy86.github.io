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FeeInput" sheetId="1" r:id="rId1"/>
    <sheet name="8月餐补" sheetId="6" r:id="rId2"/>
    <sheet name="ListData" sheetId="2" state="hidden" r:id="rId3"/>
    <sheet name="MonthSummary" sheetId="3" r:id="rId4"/>
    <sheet name="10月" sheetId="9" r:id="rId5"/>
    <sheet name="9月餐补" sheetId="7" r:id="rId6"/>
    <sheet name="5月餐补" sheetId="4" r:id="rId7"/>
    <sheet name="7月餐补" sheetId="5" r:id="rId8"/>
  </sheets>
  <definedNames>
    <definedName name="_xlnm._FilterDatabase" localSheetId="7" hidden="1">'7月餐补'!$A$1:$E$1</definedName>
  </definedNames>
  <calcPr calcId="171027"/>
</workbook>
</file>

<file path=xl/calcChain.xml><?xml version="1.0" encoding="utf-8"?>
<calcChain xmlns="http://schemas.openxmlformats.org/spreadsheetml/2006/main">
  <c r="D20" i="9" l="1"/>
  <c r="D10" i="9"/>
  <c r="D5" i="9"/>
  <c r="D4" i="9"/>
  <c r="M18" i="5" l="1"/>
  <c r="D20" i="5" l="1"/>
  <c r="D13" i="4" l="1"/>
  <c r="D8" i="4"/>
  <c r="M13" i="3"/>
  <c r="M8" i="3"/>
  <c r="J6" i="1" l="1"/>
</calcChain>
</file>

<file path=xl/sharedStrings.xml><?xml version="1.0" encoding="utf-8"?>
<sst xmlns="http://schemas.openxmlformats.org/spreadsheetml/2006/main" count="631" uniqueCount="76">
  <si>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</si>
  <si>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</si>
  <si>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</si>
  <si>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</si>
  <si>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</si>
  <si>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</si>
  <si>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</si>
  <si>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</si>
  <si>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</si>
  <si>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</si>
  <si>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</si>
  <si>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</si>
  <si>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</si>
  <si>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</si>
  <si>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</si>
  <si>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</si>
  <si>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</si>
  <si>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</si>
  <si>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</si>
  <si>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</si>
  <si>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</si>
  <si>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</si>
  <si>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</si>
  <si>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</si>
  <si>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</si>
  <si>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</si>
  <si>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</si>
  <si>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</si>
  <si>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</si>
  <si>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</si>
  <si>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</si>
  <si>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</si>
  <si>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</si>
  <si>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</si>
  <si>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</si>
  <si>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</si>
  <si>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</si>
  <si>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</si>
  <si>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</si>
  <si>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</si>
  <si>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</si>
  <si>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</si>
  <si>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</si>
  <si>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</si>
  <si>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</si>
  <si>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</si>
  <si>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</si>
  <si>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</si>
  <si>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</si>
  <si>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</si>
  <si>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</si>
  <si>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</si>
  <si>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</si>
  <si>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</si>
  <si>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</si>
  <si>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</si>
  <si>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</si>
  <si>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Total</t>
  </si>
  <si>
    <t>opt coverage</t>
  </si>
  <si>
    <t>vpn issue</t>
  </si>
  <si>
    <t>work computer fix and rebuild system</t>
  </si>
  <si>
    <t>uat fix</t>
  </si>
  <si>
    <t>56059, 56180</t>
  </si>
  <si>
    <t>UAT Fix</t>
  </si>
  <si>
    <t>Amount</t>
  </si>
  <si>
    <t>rating issue</t>
  </si>
  <si>
    <t>UAT issue</t>
  </si>
  <si>
    <t>Fee</t>
  </si>
  <si>
    <t>58708</t>
  </si>
  <si>
    <t>59966</t>
  </si>
  <si>
    <t>58684</t>
  </si>
  <si>
    <t>30126</t>
  </si>
  <si>
    <t>60359</t>
  </si>
  <si>
    <t>60295</t>
  </si>
  <si>
    <t>60642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</si>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</sst>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0" borderId="2" xfId="0" applyBorder="1"/>
    <xf numFmtId="0" fontId="0" fillId="0" borderId="11" xfId="0" applyBorder="1"/>
    <xf numFmtId="0" fontId="0" fillId="0" borderId="0" xfId="0" applyBorder="1"/>
    <xf numFmtId="0" fontId="0" fillId="0" borderId="6" xfId="0" applyBorder="1"/>
    <xf numFmtId="0" fontId="0" fillId="0" borderId="12" xfId="0" applyBorder="1"/>
    <xf numFmtId="14" fontId="0" fillId="0" borderId="0" xfId="0" applyNumberFormat="1"/>
    <xf numFmtId="0" fontId="0" fillId="4" borderId="0" xfId="0" applyFill="1" applyAlignment="1">
      <alignment horizontal="left" vertical="top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49" fontId="0" fillId="2" borderId="10" xfId="0" applyNumberFormat="1" applyFill="1" applyBorder="1" applyAlignment="1">
      <alignment horizontal="left" vertical="top"/>
    </xf>
    <xf numFmtId="49" fontId="0" fillId="0" borderId="3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49" fontId="0" fillId="0" borderId="7" xfId="0" applyNumberForma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4" xfId="0" applyFill="1" applyBorder="1"/>
    <xf numFmtId="0" fontId="0" fillId="0" borderId="0" xfId="0" applyAlignment="1">
      <alignment horizontal="right" vertical="top"/>
    </xf>
    <xf numFmtId="0" fontId="0" fillId="0" borderId="0" xfId="0" applyFill="1" applyBorder="1"/>
    <xf numFmtId="164" fontId="0" fillId="0" borderId="0" xfId="0" applyNumberFormat="1" applyFill="1" applyBorder="1"/>
    <xf numFmtId="49" fontId="0" fillId="0" borderId="5" xfId="0" applyNumberFormat="1" applyFill="1" applyBorder="1" applyAlignment="1">
      <alignment horizontal="left" vertical="top"/>
    </xf>
    <xf numFmtId="0" fontId="0" fillId="0" borderId="0" xfId="0" applyFill="1"/>
    <xf numFmtId="0" fontId="0" fillId="7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tabSelected="1" workbookViewId="0">
      <selection activeCell="L15" sqref="L15"/>
    </sheetView>
  </sheetViews>
  <sheetFormatPr defaultRowHeight="15" x14ac:dyDescent="0.25"/>
  <cols>
    <col min="1" max="1" width="10.7109375" bestFit="1" customWidth="1"/>
    <col min="6" max="6" width="47.85546875" style="27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27</v>
      </c>
      <c r="C1" s="12" t="s">
        <v>28</v>
      </c>
      <c r="D1" s="2" t="s">
        <v>29</v>
      </c>
      <c r="E1" s="2" t="s">
        <v>30</v>
      </c>
      <c r="F1" s="23" t="s">
        <v>2</v>
      </c>
    </row>
    <row r="2" spans="1:10" ht="15.75" thickBot="1" x14ac:dyDescent="0.3">
      <c r="A2" s="13">
        <v>1</v>
      </c>
      <c r="B2" s="14" t="s">
        <v>9</v>
      </c>
      <c r="C2" s="20"/>
      <c r="D2" s="20"/>
      <c r="E2" s="20"/>
      <c r="F2" s="24"/>
      <c r="I2" s="8" t="s">
        <v>31</v>
      </c>
      <c r="J2" s="9" t="s">
        <v>19</v>
      </c>
    </row>
    <row r="3" spans="1:10" ht="15.75" thickBot="1" x14ac:dyDescent="0.3">
      <c r="A3" s="7">
        <v>2</v>
      </c>
      <c r="B3" s="15" t="s">
        <v>3</v>
      </c>
      <c r="C3" s="21"/>
      <c r="D3" s="21"/>
      <c r="E3" s="21"/>
      <c r="F3" s="25"/>
    </row>
    <row r="4" spans="1:10" ht="15.75" thickBot="1" x14ac:dyDescent="0.3">
      <c r="A4" s="7">
        <v>3</v>
      </c>
      <c r="B4" s="15" t="s">
        <v>4</v>
      </c>
      <c r="C4" s="21"/>
      <c r="D4" s="21"/>
      <c r="E4" s="21"/>
      <c r="F4" s="25"/>
      <c r="I4" s="10" t="s">
        <v>32</v>
      </c>
      <c r="J4" s="9" t="s">
        <v>39</v>
      </c>
    </row>
    <row r="5" spans="1:10" ht="15.75" thickBot="1" x14ac:dyDescent="0.3">
      <c r="A5" s="7">
        <v>4</v>
      </c>
      <c r="B5" s="15" t="s">
        <v>5</v>
      </c>
      <c r="C5" s="21"/>
      <c r="D5" s="21"/>
      <c r="E5" s="21"/>
      <c r="F5" s="25"/>
    </row>
    <row r="6" spans="1:10" ht="15.75" thickBot="1" x14ac:dyDescent="0.3">
      <c r="A6" s="7">
        <v>5</v>
      </c>
      <c r="B6" s="15" t="s">
        <v>6</v>
      </c>
      <c r="C6" s="21">
        <v>29</v>
      </c>
      <c r="D6" s="21"/>
      <c r="E6" s="21">
        <v>29</v>
      </c>
      <c r="F6" s="25" t="s">
        <v>70</v>
      </c>
      <c r="I6" s="11" t="s">
        <v>54</v>
      </c>
      <c r="J6" s="9">
        <f>SUM(E2:E31)</f>
        <v>568.5</v>
      </c>
    </row>
    <row r="7" spans="1:10" x14ac:dyDescent="0.25">
      <c r="A7" s="7">
        <v>6</v>
      </c>
      <c r="B7" s="15" t="s">
        <v>7</v>
      </c>
      <c r="C7" s="21">
        <v>29</v>
      </c>
      <c r="D7" s="21"/>
      <c r="E7" s="21">
        <v>29</v>
      </c>
      <c r="F7" s="25" t="s">
        <v>70</v>
      </c>
    </row>
    <row r="8" spans="1:10" x14ac:dyDescent="0.25">
      <c r="A8" s="7">
        <v>7</v>
      </c>
      <c r="B8" s="15" t="s">
        <v>8</v>
      </c>
      <c r="C8" s="21">
        <v>22</v>
      </c>
      <c r="D8" s="21">
        <v>30</v>
      </c>
      <c r="E8" s="21">
        <v>52</v>
      </c>
      <c r="F8" s="25" t="s">
        <v>69</v>
      </c>
    </row>
    <row r="9" spans="1:10" x14ac:dyDescent="0.25">
      <c r="A9" s="7">
        <v>8</v>
      </c>
      <c r="B9" s="15" t="s">
        <v>9</v>
      </c>
      <c r="C9" s="21">
        <v>22</v>
      </c>
      <c r="D9" s="21">
        <v>29</v>
      </c>
      <c r="E9" s="21">
        <v>51</v>
      </c>
      <c r="F9" s="25" t="s">
        <v>68</v>
      </c>
    </row>
    <row r="10" spans="1:10" s="33" customFormat="1" x14ac:dyDescent="0.25">
      <c r="A10" s="28">
        <v>9</v>
      </c>
      <c r="B10" s="30" t="s">
        <v>3</v>
      </c>
      <c r="C10" s="31">
        <v>22</v>
      </c>
      <c r="D10" s="31"/>
      <c r="E10" s="31">
        <v>22</v>
      </c>
      <c r="F10" s="32" t="s">
        <v>68</v>
      </c>
    </row>
    <row r="11" spans="1:10" x14ac:dyDescent="0.25">
      <c r="A11" s="7">
        <v>10</v>
      </c>
      <c r="B11" s="15" t="s">
        <v>4</v>
      </c>
      <c r="C11" s="21">
        <v>22</v>
      </c>
      <c r="D11" s="21"/>
      <c r="E11" s="21">
        <v>22</v>
      </c>
      <c r="F11" s="25" t="s">
        <v>69</v>
      </c>
    </row>
    <row r="12" spans="1:10" x14ac:dyDescent="0.25">
      <c r="A12" s="7">
        <v>11</v>
      </c>
      <c r="B12" s="15" t="s">
        <v>5</v>
      </c>
      <c r="C12" s="21"/>
      <c r="D12" s="21"/>
      <c r="E12" s="21"/>
      <c r="F12" s="25"/>
    </row>
    <row r="13" spans="1:10" x14ac:dyDescent="0.25">
      <c r="A13" s="7">
        <v>12</v>
      </c>
      <c r="B13" s="15" t="s">
        <v>6</v>
      </c>
      <c r="C13" s="21">
        <v>30</v>
      </c>
      <c r="D13" s="21"/>
      <c r="E13" s="21">
        <v>30</v>
      </c>
      <c r="F13" s="25" t="s">
        <v>68</v>
      </c>
    </row>
    <row r="14" spans="1:10" x14ac:dyDescent="0.25">
      <c r="A14" s="7">
        <v>13</v>
      </c>
      <c r="B14" s="15" t="s">
        <v>7</v>
      </c>
      <c r="C14" s="21">
        <v>25</v>
      </c>
      <c r="D14" s="21"/>
      <c r="E14" s="21">
        <v>25</v>
      </c>
      <c r="F14" s="25" t="s">
        <v>70</v>
      </c>
    </row>
    <row r="15" spans="1:10" x14ac:dyDescent="0.25">
      <c r="A15" s="7">
        <v>14</v>
      </c>
      <c r="B15" s="15" t="s">
        <v>8</v>
      </c>
      <c r="C15" s="21">
        <v>30</v>
      </c>
      <c r="D15" s="21">
        <v>28</v>
      </c>
      <c r="E15" s="21">
        <v>58</v>
      </c>
      <c r="F15" s="25" t="s">
        <v>71</v>
      </c>
    </row>
    <row r="16" spans="1:10" x14ac:dyDescent="0.25">
      <c r="A16" s="7">
        <v>15</v>
      </c>
      <c r="B16" s="15" t="s">
        <v>9</v>
      </c>
      <c r="C16" s="21"/>
      <c r="D16" s="21"/>
      <c r="E16" s="21"/>
      <c r="F16" s="25"/>
    </row>
    <row r="17" spans="1:6" x14ac:dyDescent="0.25">
      <c r="A17" s="7">
        <v>16</v>
      </c>
      <c r="B17" t="s">
        <v>3</v>
      </c>
      <c r="C17" s="21">
        <v>28</v>
      </c>
      <c r="D17" s="21"/>
      <c r="E17" s="21">
        <v>28</v>
      </c>
      <c r="F17" s="25" t="s">
        <v>68</v>
      </c>
    </row>
    <row r="18" spans="1:6" x14ac:dyDescent="0.25">
      <c r="A18" s="7">
        <v>17</v>
      </c>
      <c r="B18" t="s">
        <v>4</v>
      </c>
      <c r="C18" s="31">
        <v>29.5</v>
      </c>
      <c r="E18">
        <v>29.5</v>
      </c>
      <c r="F18" s="27" t="s">
        <v>68</v>
      </c>
    </row>
    <row r="19" spans="1:6" x14ac:dyDescent="0.25">
      <c r="A19" s="7">
        <v>18</v>
      </c>
      <c r="B19" t="s">
        <v>5</v>
      </c>
      <c r="C19" s="31">
        <v>29.5</v>
      </c>
      <c r="E19">
        <v>29.5</v>
      </c>
      <c r="F19" s="27" t="s">
        <v>72</v>
      </c>
    </row>
    <row r="20" spans="1:6" x14ac:dyDescent="0.25">
      <c r="A20" s="7">
        <v>19</v>
      </c>
      <c r="B20" t="s">
        <v>6</v>
      </c>
      <c r="C20" s="31">
        <v>30</v>
      </c>
      <c r="E20">
        <v>30</v>
      </c>
      <c r="F20" s="27" t="s">
        <v>73</v>
      </c>
    </row>
    <row r="21" spans="1:6" x14ac:dyDescent="0.25">
      <c r="A21" s="7">
        <v>20</v>
      </c>
      <c r="B21" t="s">
        <v>7</v>
      </c>
      <c r="C21" s="31">
        <v>28.5</v>
      </c>
      <c r="E21">
        <v>28.5</v>
      </c>
      <c r="F21" s="27" t="s">
        <v>68</v>
      </c>
    </row>
    <row r="22" spans="1:6" x14ac:dyDescent="0.25">
      <c r="A22" s="7">
        <v>21</v>
      </c>
      <c r="B22" s="15" t="s">
        <v>8</v>
      </c>
      <c r="C22" s="21">
        <v>26</v>
      </c>
      <c r="D22" s="21"/>
      <c r="E22" s="21">
        <v>26</v>
      </c>
      <c r="F22" s="25" t="s">
        <v>68</v>
      </c>
    </row>
    <row r="23" spans="1:6" x14ac:dyDescent="0.25">
      <c r="A23" s="7">
        <v>22</v>
      </c>
      <c r="B23" s="15" t="s">
        <v>9</v>
      </c>
      <c r="C23" s="21"/>
      <c r="D23" s="21"/>
      <c r="E23" s="21"/>
      <c r="F23" s="25"/>
    </row>
    <row r="24" spans="1:6" x14ac:dyDescent="0.25">
      <c r="A24" s="7">
        <v>23</v>
      </c>
      <c r="B24" s="15" t="s">
        <v>3</v>
      </c>
      <c r="C24" s="21"/>
      <c r="D24" s="21"/>
      <c r="E24" s="21">
        <v>0</v>
      </c>
      <c r="F24" s="25"/>
    </row>
    <row r="25" spans="1:6" x14ac:dyDescent="0.25">
      <c r="A25" s="7">
        <v>24</v>
      </c>
      <c r="B25" s="15" t="s">
        <v>4</v>
      </c>
      <c r="C25" s="21"/>
      <c r="D25" s="21"/>
      <c r="E25" s="21"/>
      <c r="F25" s="25"/>
    </row>
    <row r="26" spans="1:6" x14ac:dyDescent="0.25">
      <c r="A26" s="7">
        <v>25</v>
      </c>
      <c r="B26" s="15" t="s">
        <v>5</v>
      </c>
      <c r="C26" s="21"/>
      <c r="D26" s="21"/>
      <c r="E26" s="21"/>
      <c r="F26" s="25"/>
    </row>
    <row r="27" spans="1:6" x14ac:dyDescent="0.25">
      <c r="A27" s="7">
        <v>26</v>
      </c>
      <c r="B27" s="15" t="s">
        <v>6</v>
      </c>
      <c r="C27" s="21">
        <v>28.5</v>
      </c>
      <c r="D27" s="21"/>
      <c r="E27" s="21">
        <v>28.5</v>
      </c>
      <c r="F27" s="25" t="s">
        <v>68</v>
      </c>
    </row>
    <row r="28" spans="1:6" x14ac:dyDescent="0.25">
      <c r="A28" s="7">
        <v>27</v>
      </c>
      <c r="B28" s="15" t="s">
        <v>7</v>
      </c>
      <c r="C28" s="21">
        <v>30</v>
      </c>
      <c r="D28" s="21"/>
      <c r="E28" s="21">
        <v>30</v>
      </c>
      <c r="F28" s="25" t="s">
        <v>74</v>
      </c>
    </row>
    <row r="29" spans="1:6" x14ac:dyDescent="0.25">
      <c r="A29" s="7">
        <v>28</v>
      </c>
      <c r="B29" s="15" t="s">
        <v>8</v>
      </c>
      <c r="C29" s="21"/>
      <c r="D29" s="21"/>
      <c r="E29" s="21"/>
      <c r="F29" s="25"/>
    </row>
    <row r="30" spans="1:6" x14ac:dyDescent="0.25">
      <c r="A30" s="7">
        <v>29</v>
      </c>
      <c r="B30" s="15" t="s">
        <v>9</v>
      </c>
      <c r="C30" s="21"/>
      <c r="D30" s="21"/>
      <c r="E30" s="21"/>
      <c r="F30" s="25"/>
    </row>
    <row r="31" spans="1:6" x14ac:dyDescent="0.25">
      <c r="A31" s="7">
        <v>30</v>
      </c>
      <c r="B31" s="15" t="s">
        <v>3</v>
      </c>
      <c r="C31" s="21">
        <v>20.5</v>
      </c>
      <c r="D31" s="21"/>
      <c r="E31" s="21">
        <v>20.5</v>
      </c>
      <c r="F31" s="25" t="s">
        <v>68</v>
      </c>
    </row>
    <row r="32" spans="1:6" ht="15.75" thickBot="1" x14ac:dyDescent="0.3">
      <c r="A32" s="16">
        <v>31</v>
      </c>
      <c r="B32" s="17" t="s">
        <v>4</v>
      </c>
      <c r="C32" s="22"/>
      <c r="D32" s="22"/>
      <c r="E32" s="22"/>
      <c r="F32" s="26"/>
    </row>
  </sheetData>
  <dataValidations count="4">
    <dataValidation type="decimal" allowBlank="1" showInputMessage="1" showErrorMessage="1" sqref="C2:C32">
      <formula1>0</formula1>
      <formula2>30</formula2>
    </dataValidation>
    <dataValidation type="whole" allowBlank="1" showInputMessage="1" showErrorMessage="1" sqref="E22:E32 E11:E17 E2:E8 E9:E10">
      <formula1>0</formula1>
      <formula2>60</formula2>
    </dataValidation>
    <dataValidation type="decimal" allowBlank="1" showInputMessage="1" showErrorMessage="1" sqref="D22:D32 D11:D17 D2:D8 D9:D10">
      <formula1>0</formula1>
      <formula2>30</formula2>
    </dataValidation>
    <dataValidation type="whole" allowBlank="1" showInputMessage="1" showErrorMessage="1" sqref="A22:A32 A17:B17 A11:A15 A2:A8 A9:A10">
      <formula1>1</formula1>
      <formula2>31</formula2>
    </dataValidation>
  </dataValidations>
  <pageMargins left="0.7" right="0.7" top="0.75" bottom="0.75" header="0.3" footer="0.3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0"/>
  <sheetViews>
    <sheetView workbookViewId="0">
      <selection activeCell="H26" sqref="H26"/>
    </sheetView>
  </sheetViews>
  <sheetFormatPr defaultRowHeight="15" x14ac:dyDescent="0.25"/>
  <cols>
    <col min="2" max="2" width="12.140625" customWidth="1"/>
  </cols>
  <sheetData>
    <row r="2" spans="1:7" x14ac:dyDescent="0.25">
      <c r="A2" t="s">
        <v>19</v>
      </c>
      <c r="B2" s="18">
        <v>42965</v>
      </c>
      <c r="C2" t="s">
        <v>7</v>
      </c>
      <c r="D2">
        <v>30</v>
      </c>
      <c r="F2">
        <v>30</v>
      </c>
      <c r="G2" s="3">
        <v>57010</v>
      </c>
    </row>
    <row r="3" spans="1:7" x14ac:dyDescent="0.25">
      <c r="A3" t="s">
        <v>19</v>
      </c>
      <c r="B3" s="18">
        <v>42963</v>
      </c>
      <c r="C3" t="s">
        <v>5</v>
      </c>
      <c r="D3">
        <v>30</v>
      </c>
      <c r="F3">
        <v>30</v>
      </c>
      <c r="G3" s="3">
        <v>57009</v>
      </c>
    </row>
    <row r="4" spans="1:7" x14ac:dyDescent="0.25">
      <c r="A4" t="s">
        <v>19</v>
      </c>
      <c r="B4" s="18">
        <v>42973</v>
      </c>
      <c r="C4" t="s">
        <v>8</v>
      </c>
      <c r="D4">
        <v>27</v>
      </c>
      <c r="F4">
        <v>27</v>
      </c>
      <c r="G4" s="3">
        <v>58708</v>
      </c>
    </row>
    <row r="5" spans="1:7" x14ac:dyDescent="0.25">
      <c r="A5" t="s">
        <v>19</v>
      </c>
      <c r="B5" s="18">
        <v>42973</v>
      </c>
      <c r="C5" t="s">
        <v>8</v>
      </c>
      <c r="D5">
        <v>30</v>
      </c>
      <c r="F5">
        <v>30</v>
      </c>
      <c r="G5" s="3">
        <v>56935</v>
      </c>
    </row>
    <row r="6" spans="1:7" x14ac:dyDescent="0.25">
      <c r="A6" t="s">
        <v>19</v>
      </c>
      <c r="B6" s="18">
        <v>42948</v>
      </c>
      <c r="C6" t="s">
        <v>4</v>
      </c>
      <c r="D6">
        <v>30</v>
      </c>
      <c r="F6">
        <v>30</v>
      </c>
      <c r="G6" s="3">
        <v>57446</v>
      </c>
    </row>
    <row r="7" spans="1:7" x14ac:dyDescent="0.25">
      <c r="A7" t="s">
        <v>19</v>
      </c>
      <c r="B7" s="18">
        <v>42958</v>
      </c>
      <c r="C7" t="s">
        <v>7</v>
      </c>
      <c r="D7">
        <v>30</v>
      </c>
      <c r="F7">
        <v>30</v>
      </c>
      <c r="G7" s="3" t="s">
        <v>65</v>
      </c>
    </row>
    <row r="8" spans="1:7" x14ac:dyDescent="0.25">
      <c r="A8" t="s">
        <v>19</v>
      </c>
      <c r="B8" s="18">
        <v>42975</v>
      </c>
      <c r="C8" t="s">
        <v>3</v>
      </c>
      <c r="D8">
        <v>30</v>
      </c>
      <c r="F8">
        <v>30</v>
      </c>
      <c r="G8" s="3">
        <v>58708</v>
      </c>
    </row>
    <row r="9" spans="1:7" x14ac:dyDescent="0.25">
      <c r="A9" t="s">
        <v>19</v>
      </c>
      <c r="B9" s="18">
        <v>42951</v>
      </c>
      <c r="C9" t="s">
        <v>7</v>
      </c>
      <c r="D9">
        <v>30</v>
      </c>
      <c r="F9">
        <v>30</v>
      </c>
      <c r="G9" s="3">
        <v>57010</v>
      </c>
    </row>
    <row r="10" spans="1:7" x14ac:dyDescent="0.25">
      <c r="A10" t="s">
        <v>19</v>
      </c>
      <c r="B10" s="18">
        <v>42956</v>
      </c>
      <c r="C10" t="s">
        <v>5</v>
      </c>
      <c r="D10">
        <v>28</v>
      </c>
      <c r="F10">
        <v>28</v>
      </c>
      <c r="G10" s="3">
        <v>57885</v>
      </c>
    </row>
    <row r="11" spans="1:7" x14ac:dyDescent="0.25">
      <c r="A11" t="s">
        <v>19</v>
      </c>
      <c r="B11" s="18">
        <v>42977</v>
      </c>
      <c r="C11" t="s">
        <v>5</v>
      </c>
      <c r="D11">
        <v>30</v>
      </c>
      <c r="F11">
        <v>30</v>
      </c>
      <c r="G11" s="3">
        <v>58708</v>
      </c>
    </row>
    <row r="12" spans="1:7" x14ac:dyDescent="0.25">
      <c r="A12" t="s">
        <v>19</v>
      </c>
      <c r="B12" s="18">
        <v>42971</v>
      </c>
      <c r="C12" t="s">
        <v>6</v>
      </c>
      <c r="D12">
        <v>30</v>
      </c>
      <c r="F12">
        <v>30</v>
      </c>
      <c r="G12" s="3" t="s">
        <v>66</v>
      </c>
    </row>
    <row r="13" spans="1:7" x14ac:dyDescent="0.25">
      <c r="A13" t="s">
        <v>19</v>
      </c>
      <c r="B13" s="18">
        <v>42969</v>
      </c>
      <c r="C13" t="s">
        <v>4</v>
      </c>
      <c r="D13">
        <v>30</v>
      </c>
      <c r="F13">
        <v>30</v>
      </c>
      <c r="G13" s="3">
        <v>58389</v>
      </c>
    </row>
    <row r="14" spans="1:7" x14ac:dyDescent="0.25">
      <c r="A14" t="s">
        <v>19</v>
      </c>
      <c r="B14" s="18">
        <v>42970</v>
      </c>
      <c r="C14" t="s">
        <v>5</v>
      </c>
      <c r="D14">
        <v>30</v>
      </c>
      <c r="F14">
        <v>30</v>
      </c>
      <c r="G14" s="3">
        <v>57731</v>
      </c>
    </row>
    <row r="15" spans="1:7" x14ac:dyDescent="0.25">
      <c r="A15" t="s">
        <v>19</v>
      </c>
      <c r="B15" s="18">
        <v>42949</v>
      </c>
      <c r="C15" t="s">
        <v>5</v>
      </c>
      <c r="D15">
        <v>30</v>
      </c>
      <c r="F15">
        <v>30</v>
      </c>
      <c r="G15" s="3">
        <v>56472</v>
      </c>
    </row>
    <row r="16" spans="1:7" x14ac:dyDescent="0.25">
      <c r="A16" t="s">
        <v>19</v>
      </c>
      <c r="B16" s="18">
        <v>42961</v>
      </c>
      <c r="C16" t="s">
        <v>3</v>
      </c>
      <c r="D16">
        <v>30</v>
      </c>
      <c r="F16">
        <v>30</v>
      </c>
      <c r="G16" s="3">
        <v>58007</v>
      </c>
    </row>
    <row r="17" spans="1:8" x14ac:dyDescent="0.25">
      <c r="A17" t="s">
        <v>19</v>
      </c>
      <c r="B17" s="18">
        <v>42978</v>
      </c>
      <c r="C17" t="s">
        <v>6</v>
      </c>
      <c r="D17">
        <v>30</v>
      </c>
      <c r="F17">
        <v>30</v>
      </c>
      <c r="G17" s="3">
        <v>58804</v>
      </c>
    </row>
    <row r="18" spans="1:8" x14ac:dyDescent="0.25">
      <c r="A18" t="s">
        <v>19</v>
      </c>
      <c r="B18" s="18">
        <v>42968</v>
      </c>
      <c r="C18" t="s">
        <v>3</v>
      </c>
      <c r="D18">
        <v>30</v>
      </c>
      <c r="F18">
        <v>30</v>
      </c>
      <c r="G18" s="3">
        <v>57731</v>
      </c>
    </row>
    <row r="19" spans="1:8" x14ac:dyDescent="0.25">
      <c r="A19" t="s">
        <v>19</v>
      </c>
      <c r="B19" s="18">
        <v>42972</v>
      </c>
      <c r="C19" t="s">
        <v>7</v>
      </c>
      <c r="D19">
        <v>30</v>
      </c>
      <c r="F19">
        <v>30</v>
      </c>
      <c r="G19" s="3">
        <v>58393</v>
      </c>
    </row>
    <row r="20" spans="1:8" x14ac:dyDescent="0.25">
      <c r="G20" s="3"/>
      <c r="H20">
        <v>535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33</v>
      </c>
      <c r="F1" s="1" t="s">
        <v>10</v>
      </c>
      <c r="G1" s="1" t="s">
        <v>11</v>
      </c>
      <c r="H1" s="1"/>
    </row>
    <row r="2" spans="1:8" x14ac:dyDescent="0.25">
      <c r="A2" s="4" t="s">
        <v>34</v>
      </c>
      <c r="F2" t="s">
        <v>12</v>
      </c>
      <c r="G2">
        <v>37</v>
      </c>
    </row>
    <row r="3" spans="1:8" x14ac:dyDescent="0.25">
      <c r="A3" s="4" t="s">
        <v>35</v>
      </c>
      <c r="F3" t="s">
        <v>13</v>
      </c>
      <c r="G3">
        <v>387</v>
      </c>
    </row>
    <row r="4" spans="1:8" x14ac:dyDescent="0.25">
      <c r="A4" s="4" t="s">
        <v>36</v>
      </c>
      <c r="F4" t="s">
        <v>14</v>
      </c>
      <c r="G4">
        <v>463</v>
      </c>
    </row>
    <row r="5" spans="1:8" x14ac:dyDescent="0.25">
      <c r="A5" s="4" t="s">
        <v>37</v>
      </c>
      <c r="F5" t="s">
        <v>15</v>
      </c>
      <c r="G5">
        <v>396</v>
      </c>
    </row>
    <row r="6" spans="1:8" x14ac:dyDescent="0.25">
      <c r="A6" s="4" t="s">
        <v>38</v>
      </c>
      <c r="F6" t="s">
        <v>16</v>
      </c>
      <c r="G6">
        <v>462</v>
      </c>
    </row>
    <row r="7" spans="1:8" x14ac:dyDescent="0.25">
      <c r="A7" s="4" t="s">
        <v>39</v>
      </c>
      <c r="F7" t="s">
        <v>17</v>
      </c>
      <c r="G7">
        <v>166</v>
      </c>
    </row>
    <row r="8" spans="1:8" x14ac:dyDescent="0.25">
      <c r="A8" s="4" t="s">
        <v>40</v>
      </c>
      <c r="F8" t="s">
        <v>18</v>
      </c>
      <c r="G8">
        <v>473</v>
      </c>
    </row>
    <row r="9" spans="1:8" x14ac:dyDescent="0.25">
      <c r="A9" s="4" t="s">
        <v>41</v>
      </c>
      <c r="F9" t="s">
        <v>19</v>
      </c>
      <c r="G9">
        <v>129</v>
      </c>
    </row>
    <row r="10" spans="1:8" x14ac:dyDescent="0.25">
      <c r="A10" s="4" t="s">
        <v>42</v>
      </c>
      <c r="F10" t="s">
        <v>20</v>
      </c>
      <c r="G10">
        <v>232</v>
      </c>
    </row>
    <row r="11" spans="1:8" x14ac:dyDescent="0.25">
      <c r="A11" s="4" t="s">
        <v>43</v>
      </c>
      <c r="F11" t="s">
        <v>21</v>
      </c>
      <c r="G11">
        <v>469</v>
      </c>
    </row>
    <row r="12" spans="1:8" x14ac:dyDescent="0.25">
      <c r="A12" s="4" t="s">
        <v>44</v>
      </c>
      <c r="F12" t="s">
        <v>22</v>
      </c>
      <c r="G12">
        <v>332</v>
      </c>
    </row>
    <row r="13" spans="1:8" x14ac:dyDescent="0.25">
      <c r="A13" s="4" t="s">
        <v>45</v>
      </c>
      <c r="F13" t="s">
        <v>23</v>
      </c>
      <c r="G13">
        <v>441</v>
      </c>
    </row>
    <row r="14" spans="1:8" x14ac:dyDescent="0.25">
      <c r="A14" s="4" t="s">
        <v>46</v>
      </c>
      <c r="F14" t="s">
        <v>24</v>
      </c>
      <c r="G14">
        <v>442</v>
      </c>
    </row>
    <row r="15" spans="1:8" x14ac:dyDescent="0.25">
      <c r="A15" s="4" t="s">
        <v>47</v>
      </c>
      <c r="F15" t="s">
        <v>25</v>
      </c>
      <c r="G15">
        <v>110</v>
      </c>
    </row>
    <row r="16" spans="1:8" x14ac:dyDescent="0.25">
      <c r="A16" s="4" t="s">
        <v>48</v>
      </c>
      <c r="F16" t="s">
        <v>26</v>
      </c>
      <c r="G16">
        <v>388</v>
      </c>
    </row>
    <row r="17" spans="1:1" x14ac:dyDescent="0.25">
      <c r="A17" s="4" t="s">
        <v>49</v>
      </c>
    </row>
    <row r="18" spans="1:1" x14ac:dyDescent="0.25">
      <c r="A18" s="4" t="s">
        <v>50</v>
      </c>
    </row>
    <row r="19" spans="1:1" x14ac:dyDescent="0.25">
      <c r="A19" s="4" t="s">
        <v>51</v>
      </c>
    </row>
    <row r="20" spans="1:1" x14ac:dyDescent="0.25">
      <c r="A20" s="4" t="s">
        <v>52</v>
      </c>
    </row>
    <row r="21" spans="1:1" x14ac:dyDescent="0.25">
      <c r="A21" s="4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55"/>
  <sheetViews>
    <sheetView topLeftCell="A125" workbookViewId="0">
      <selection activeCell="A137" sqref="A137:G154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  <col min="11" max="11" width="10.7109375" bestFit="1" customWidth="1"/>
    <col min="14" max="14" width="35.28515625" bestFit="1" customWidth="1"/>
    <col min="15" max="15" width="12" bestFit="1" customWidth="1"/>
  </cols>
  <sheetData>
    <row r="1" spans="1:15" x14ac:dyDescent="0.25">
      <c r="A1" s="6" t="s">
        <v>0</v>
      </c>
      <c r="B1" s="6" t="s">
        <v>1</v>
      </c>
      <c r="C1" s="6" t="s">
        <v>55</v>
      </c>
      <c r="D1" s="6" t="s">
        <v>28</v>
      </c>
      <c r="E1" s="6" t="s">
        <v>29</v>
      </c>
      <c r="F1" s="6" t="s">
        <v>57</v>
      </c>
      <c r="G1" s="19" t="s">
        <v>2</v>
      </c>
      <c r="H1" s="6" t="s">
        <v>56</v>
      </c>
      <c r="J1" s="6" t="s">
        <v>0</v>
      </c>
      <c r="K1" s="6" t="s">
        <v>1</v>
      </c>
      <c r="L1" s="6" t="s">
        <v>55</v>
      </c>
      <c r="M1" s="6" t="s">
        <v>57</v>
      </c>
      <c r="N1" s="19" t="s">
        <v>2</v>
      </c>
      <c r="O1" s="6" t="s">
        <v>56</v>
      </c>
    </row>
    <row r="2" spans="1:15" x14ac:dyDescent="0.25">
      <c r="A2" t="s">
        <v>19</v>
      </c>
      <c r="B2" s="18">
        <v>42857</v>
      </c>
      <c r="C2" t="s">
        <v>4</v>
      </c>
      <c r="E2">
        <v>30</v>
      </c>
      <c r="F2">
        <v>30</v>
      </c>
      <c r="G2" s="3" t="s">
        <v>58</v>
      </c>
      <c r="J2" t="s">
        <v>19</v>
      </c>
      <c r="K2" s="18">
        <v>42857</v>
      </c>
      <c r="L2" t="s">
        <v>4</v>
      </c>
      <c r="M2">
        <v>30</v>
      </c>
      <c r="N2" s="3" t="s">
        <v>58</v>
      </c>
    </row>
    <row r="3" spans="1:15" x14ac:dyDescent="0.25">
      <c r="A3" t="s">
        <v>19</v>
      </c>
      <c r="B3" s="18">
        <v>42860</v>
      </c>
      <c r="C3" t="s">
        <v>7</v>
      </c>
      <c r="E3">
        <v>30</v>
      </c>
      <c r="F3">
        <v>30</v>
      </c>
      <c r="G3" s="3">
        <v>54367</v>
      </c>
      <c r="J3" t="s">
        <v>19</v>
      </c>
      <c r="K3" s="18">
        <v>42860</v>
      </c>
      <c r="L3" t="s">
        <v>7</v>
      </c>
      <c r="M3">
        <v>30</v>
      </c>
      <c r="N3" s="3">
        <v>54367</v>
      </c>
    </row>
    <row r="4" spans="1:15" x14ac:dyDescent="0.25">
      <c r="A4" t="s">
        <v>19</v>
      </c>
      <c r="B4" s="18">
        <v>42861</v>
      </c>
      <c r="C4" t="s">
        <v>8</v>
      </c>
      <c r="D4">
        <v>29</v>
      </c>
      <c r="F4">
        <v>29</v>
      </c>
      <c r="G4" s="3">
        <v>54367</v>
      </c>
      <c r="J4" t="s">
        <v>19</v>
      </c>
      <c r="K4" s="18">
        <v>42861</v>
      </c>
      <c r="L4" t="s">
        <v>8</v>
      </c>
      <c r="M4">
        <v>29</v>
      </c>
      <c r="N4" s="3">
        <v>54367</v>
      </c>
    </row>
    <row r="5" spans="1:15" x14ac:dyDescent="0.25">
      <c r="A5" t="s">
        <v>19</v>
      </c>
      <c r="B5" s="18">
        <v>42864</v>
      </c>
      <c r="C5" t="s">
        <v>4</v>
      </c>
      <c r="E5">
        <v>27</v>
      </c>
      <c r="F5">
        <v>27</v>
      </c>
      <c r="G5" s="3">
        <v>54454</v>
      </c>
      <c r="J5" t="s">
        <v>19</v>
      </c>
      <c r="K5" s="18">
        <v>42864</v>
      </c>
      <c r="L5" t="s">
        <v>4</v>
      </c>
      <c r="M5">
        <v>27</v>
      </c>
      <c r="N5" s="3">
        <v>54454</v>
      </c>
    </row>
    <row r="6" spans="1:15" x14ac:dyDescent="0.25">
      <c r="A6" t="s">
        <v>19</v>
      </c>
      <c r="B6" s="18">
        <v>42866</v>
      </c>
      <c r="C6" t="s">
        <v>6</v>
      </c>
      <c r="E6">
        <v>30</v>
      </c>
      <c r="F6">
        <v>30</v>
      </c>
      <c r="G6" s="3">
        <v>54367</v>
      </c>
      <c r="J6" t="s">
        <v>19</v>
      </c>
      <c r="K6" s="18">
        <v>42866</v>
      </c>
      <c r="L6" t="s">
        <v>6</v>
      </c>
      <c r="M6">
        <v>30</v>
      </c>
      <c r="N6" s="3">
        <v>54367</v>
      </c>
    </row>
    <row r="7" spans="1:15" x14ac:dyDescent="0.25">
      <c r="A7" t="s">
        <v>19</v>
      </c>
      <c r="B7" s="18">
        <v>42867</v>
      </c>
      <c r="C7" t="s">
        <v>7</v>
      </c>
      <c r="E7">
        <v>30</v>
      </c>
      <c r="F7">
        <v>30</v>
      </c>
      <c r="G7" s="3">
        <v>54594</v>
      </c>
      <c r="J7" t="s">
        <v>19</v>
      </c>
      <c r="K7" s="18">
        <v>42867</v>
      </c>
      <c r="L7" t="s">
        <v>7</v>
      </c>
      <c r="M7">
        <v>30</v>
      </c>
      <c r="N7" s="3">
        <v>54594</v>
      </c>
    </row>
    <row r="8" spans="1:15" x14ac:dyDescent="0.25">
      <c r="A8" t="s">
        <v>19</v>
      </c>
      <c r="B8" s="18">
        <v>42868</v>
      </c>
      <c r="C8" t="s">
        <v>8</v>
      </c>
      <c r="D8">
        <v>30</v>
      </c>
      <c r="E8">
        <v>30</v>
      </c>
      <c r="F8">
        <v>60</v>
      </c>
      <c r="G8" s="3">
        <v>54954</v>
      </c>
      <c r="J8" t="s">
        <v>19</v>
      </c>
      <c r="K8" s="18">
        <v>42868</v>
      </c>
      <c r="L8" t="s">
        <v>8</v>
      </c>
      <c r="M8">
        <f>30+30</f>
        <v>60</v>
      </c>
      <c r="N8" s="3">
        <v>54954</v>
      </c>
    </row>
    <row r="9" spans="1:15" x14ac:dyDescent="0.25">
      <c r="A9" t="s">
        <v>19</v>
      </c>
      <c r="B9" s="18">
        <v>42870</v>
      </c>
      <c r="C9" t="s">
        <v>3</v>
      </c>
      <c r="E9">
        <v>30</v>
      </c>
      <c r="F9">
        <v>30</v>
      </c>
      <c r="G9" s="3">
        <v>54954</v>
      </c>
      <c r="J9" t="s">
        <v>19</v>
      </c>
      <c r="K9" s="18">
        <v>42870</v>
      </c>
      <c r="L9" t="s">
        <v>3</v>
      </c>
      <c r="M9">
        <v>30</v>
      </c>
      <c r="N9" s="3">
        <v>54954</v>
      </c>
    </row>
    <row r="10" spans="1:15" x14ac:dyDescent="0.25">
      <c r="A10" t="s">
        <v>19</v>
      </c>
      <c r="B10" s="18">
        <v>42871</v>
      </c>
      <c r="C10" t="s">
        <v>4</v>
      </c>
      <c r="E10">
        <v>29</v>
      </c>
      <c r="F10">
        <v>29</v>
      </c>
      <c r="G10" s="3">
        <v>54594</v>
      </c>
      <c r="J10" t="s">
        <v>19</v>
      </c>
      <c r="K10" s="18">
        <v>42871</v>
      </c>
      <c r="L10" t="s">
        <v>4</v>
      </c>
      <c r="M10">
        <v>29</v>
      </c>
      <c r="N10" s="3">
        <v>54594</v>
      </c>
    </row>
    <row r="11" spans="1:15" x14ac:dyDescent="0.25">
      <c r="A11" t="s">
        <v>19</v>
      </c>
      <c r="B11" s="18">
        <v>42872</v>
      </c>
      <c r="C11" t="s">
        <v>5</v>
      </c>
      <c r="E11">
        <v>27</v>
      </c>
      <c r="F11">
        <v>27</v>
      </c>
      <c r="G11" s="3">
        <v>54594</v>
      </c>
      <c r="J11" t="s">
        <v>19</v>
      </c>
      <c r="K11" s="18">
        <v>42872</v>
      </c>
      <c r="L11" t="s">
        <v>5</v>
      </c>
      <c r="M11">
        <v>27</v>
      </c>
      <c r="N11" s="3">
        <v>54594</v>
      </c>
    </row>
    <row r="12" spans="1:15" x14ac:dyDescent="0.25">
      <c r="A12" t="s">
        <v>19</v>
      </c>
      <c r="B12" s="18">
        <v>42873</v>
      </c>
      <c r="C12" t="s">
        <v>6</v>
      </c>
      <c r="E12">
        <v>30</v>
      </c>
      <c r="F12">
        <v>30</v>
      </c>
      <c r="G12" s="3">
        <v>54178</v>
      </c>
      <c r="J12" t="s">
        <v>19</v>
      </c>
      <c r="K12" s="18">
        <v>42873</v>
      </c>
      <c r="L12" t="s">
        <v>6</v>
      </c>
      <c r="M12">
        <v>30</v>
      </c>
      <c r="N12" s="3">
        <v>54178</v>
      </c>
    </row>
    <row r="13" spans="1:15" x14ac:dyDescent="0.25">
      <c r="A13" t="s">
        <v>19</v>
      </c>
      <c r="B13" s="18">
        <v>42875</v>
      </c>
      <c r="C13" t="s">
        <v>8</v>
      </c>
      <c r="D13">
        <v>27</v>
      </c>
      <c r="E13">
        <v>30</v>
      </c>
      <c r="F13">
        <v>57</v>
      </c>
      <c r="G13" s="3" t="s">
        <v>59</v>
      </c>
      <c r="J13" t="s">
        <v>19</v>
      </c>
      <c r="K13" s="18">
        <v>42875</v>
      </c>
      <c r="L13" t="s">
        <v>8</v>
      </c>
      <c r="M13">
        <f>30+27</f>
        <v>57</v>
      </c>
      <c r="N13" s="3" t="s">
        <v>59</v>
      </c>
    </row>
    <row r="14" spans="1:15" x14ac:dyDescent="0.25">
      <c r="A14" t="s">
        <v>19</v>
      </c>
      <c r="B14" s="18">
        <v>42876</v>
      </c>
      <c r="C14" t="s">
        <v>9</v>
      </c>
      <c r="E14">
        <v>30</v>
      </c>
      <c r="F14">
        <v>30</v>
      </c>
      <c r="G14" s="3" t="s">
        <v>60</v>
      </c>
      <c r="J14" t="s">
        <v>19</v>
      </c>
      <c r="K14" s="18">
        <v>42876</v>
      </c>
      <c r="L14" t="s">
        <v>9</v>
      </c>
      <c r="M14">
        <v>30</v>
      </c>
      <c r="N14" s="3" t="s">
        <v>60</v>
      </c>
    </row>
    <row r="15" spans="1:15" x14ac:dyDescent="0.25">
      <c r="A15" t="s">
        <v>19</v>
      </c>
      <c r="B15" s="18">
        <v>42877</v>
      </c>
      <c r="C15" t="s">
        <v>3</v>
      </c>
      <c r="E15">
        <v>30</v>
      </c>
      <c r="F15">
        <v>30</v>
      </c>
      <c r="G15" s="3">
        <v>53719</v>
      </c>
      <c r="J15" t="s">
        <v>19</v>
      </c>
      <c r="K15" s="18">
        <v>42877</v>
      </c>
      <c r="L15" t="s">
        <v>3</v>
      </c>
      <c r="M15">
        <v>30</v>
      </c>
      <c r="N15" s="3">
        <v>53719</v>
      </c>
    </row>
    <row r="16" spans="1:15" x14ac:dyDescent="0.25">
      <c r="A16" t="s">
        <v>19</v>
      </c>
      <c r="B16" s="18">
        <v>42881</v>
      </c>
      <c r="C16" t="s">
        <v>7</v>
      </c>
      <c r="E16">
        <v>16.8</v>
      </c>
      <c r="F16">
        <v>16.8</v>
      </c>
      <c r="G16" s="3">
        <v>53989</v>
      </c>
      <c r="J16" t="s">
        <v>19</v>
      </c>
      <c r="K16" s="18">
        <v>42881</v>
      </c>
      <c r="L16" t="s">
        <v>7</v>
      </c>
      <c r="M16">
        <v>16.8</v>
      </c>
      <c r="N16" s="3">
        <v>53989</v>
      </c>
    </row>
    <row r="17" spans="1:15" x14ac:dyDescent="0.25">
      <c r="A17" t="s">
        <v>19</v>
      </c>
      <c r="B17" s="18">
        <v>42886</v>
      </c>
      <c r="C17" t="s">
        <v>5</v>
      </c>
      <c r="E17">
        <v>19.8</v>
      </c>
      <c r="F17">
        <v>19.8</v>
      </c>
      <c r="G17" s="3">
        <v>55251</v>
      </c>
      <c r="J17" t="s">
        <v>19</v>
      </c>
      <c r="K17" s="18">
        <v>42886</v>
      </c>
      <c r="L17" t="s">
        <v>5</v>
      </c>
      <c r="M17">
        <v>19.8</v>
      </c>
      <c r="N17" s="3">
        <v>55251</v>
      </c>
    </row>
    <row r="18" spans="1:15" x14ac:dyDescent="0.25">
      <c r="B18" s="18"/>
      <c r="H18">
        <v>505.6</v>
      </c>
      <c r="K18" s="18"/>
      <c r="N18" s="3"/>
      <c r="O18">
        <v>505.6</v>
      </c>
    </row>
    <row r="19" spans="1:15" x14ac:dyDescent="0.25">
      <c r="A19" t="s">
        <v>19</v>
      </c>
      <c r="B19" s="18">
        <v>42941</v>
      </c>
      <c r="C19" t="s">
        <v>4</v>
      </c>
      <c r="D19">
        <v>30</v>
      </c>
      <c r="F19">
        <v>30</v>
      </c>
      <c r="G19" s="3">
        <v>57127</v>
      </c>
    </row>
    <row r="20" spans="1:15" x14ac:dyDescent="0.25">
      <c r="A20" t="s">
        <v>19</v>
      </c>
      <c r="B20" s="18">
        <v>42930</v>
      </c>
      <c r="C20" t="s">
        <v>7</v>
      </c>
      <c r="D20">
        <v>30</v>
      </c>
      <c r="F20">
        <v>30</v>
      </c>
      <c r="G20" s="3">
        <v>54412</v>
      </c>
    </row>
    <row r="21" spans="1:15" x14ac:dyDescent="0.25">
      <c r="A21" t="s">
        <v>19</v>
      </c>
      <c r="B21" s="18">
        <v>42931</v>
      </c>
      <c r="C21" t="s">
        <v>8</v>
      </c>
      <c r="D21">
        <v>30</v>
      </c>
      <c r="F21">
        <v>30</v>
      </c>
      <c r="G21" s="3" t="s">
        <v>61</v>
      </c>
    </row>
    <row r="22" spans="1:15" x14ac:dyDescent="0.25">
      <c r="A22" t="s">
        <v>19</v>
      </c>
      <c r="B22" s="18">
        <v>42934</v>
      </c>
      <c r="C22" t="s">
        <v>4</v>
      </c>
      <c r="D22">
        <v>30</v>
      </c>
      <c r="F22">
        <v>30</v>
      </c>
      <c r="G22" s="3">
        <v>54412</v>
      </c>
    </row>
    <row r="23" spans="1:15" x14ac:dyDescent="0.25">
      <c r="A23" t="s">
        <v>19</v>
      </c>
      <c r="B23" s="18">
        <v>42929</v>
      </c>
      <c r="C23" t="s">
        <v>6</v>
      </c>
      <c r="D23">
        <v>30</v>
      </c>
      <c r="F23">
        <v>30</v>
      </c>
      <c r="G23" s="3">
        <v>56073</v>
      </c>
    </row>
    <row r="24" spans="1:15" x14ac:dyDescent="0.25">
      <c r="A24" t="s">
        <v>19</v>
      </c>
      <c r="B24" s="18">
        <v>42935</v>
      </c>
      <c r="C24" t="s">
        <v>5</v>
      </c>
      <c r="D24">
        <v>30</v>
      </c>
      <c r="F24">
        <v>30</v>
      </c>
      <c r="G24" s="3">
        <v>56812</v>
      </c>
    </row>
    <row r="25" spans="1:15" x14ac:dyDescent="0.25">
      <c r="A25" t="s">
        <v>19</v>
      </c>
      <c r="B25" s="18">
        <v>42917</v>
      </c>
      <c r="C25" t="s">
        <v>8</v>
      </c>
      <c r="D25">
        <v>28</v>
      </c>
      <c r="E25">
        <v>27</v>
      </c>
      <c r="F25">
        <v>55</v>
      </c>
      <c r="G25" s="3" t="s">
        <v>62</v>
      </c>
    </row>
    <row r="26" spans="1:15" x14ac:dyDescent="0.25">
      <c r="A26" t="s">
        <v>19</v>
      </c>
      <c r="B26" s="18">
        <v>42923</v>
      </c>
      <c r="C26" t="s">
        <v>7</v>
      </c>
      <c r="D26">
        <v>30</v>
      </c>
      <c r="F26">
        <v>30</v>
      </c>
      <c r="G26" s="3">
        <v>56330</v>
      </c>
    </row>
    <row r="27" spans="1:15" x14ac:dyDescent="0.25">
      <c r="A27" t="s">
        <v>19</v>
      </c>
      <c r="B27" s="18">
        <v>42924</v>
      </c>
      <c r="C27" t="s">
        <v>8</v>
      </c>
      <c r="D27">
        <v>30</v>
      </c>
      <c r="F27">
        <v>30</v>
      </c>
      <c r="G27" s="3">
        <v>56750</v>
      </c>
    </row>
    <row r="28" spans="1:15" x14ac:dyDescent="0.25">
      <c r="A28" t="s">
        <v>19</v>
      </c>
      <c r="B28" s="18">
        <v>42926</v>
      </c>
      <c r="C28" t="s">
        <v>3</v>
      </c>
      <c r="D28">
        <v>24</v>
      </c>
      <c r="F28">
        <v>24</v>
      </c>
      <c r="G28" s="3">
        <v>56988</v>
      </c>
    </row>
    <row r="29" spans="1:15" x14ac:dyDescent="0.25">
      <c r="A29" t="s">
        <v>19</v>
      </c>
      <c r="B29" s="18">
        <v>42927</v>
      </c>
      <c r="C29" t="s">
        <v>4</v>
      </c>
      <c r="D29">
        <v>27</v>
      </c>
      <c r="F29">
        <v>27</v>
      </c>
      <c r="G29" s="3">
        <v>56301</v>
      </c>
    </row>
    <row r="30" spans="1:15" x14ac:dyDescent="0.25">
      <c r="A30" t="s">
        <v>19</v>
      </c>
      <c r="B30" s="18">
        <v>42928</v>
      </c>
      <c r="C30" t="s">
        <v>5</v>
      </c>
      <c r="D30">
        <v>30</v>
      </c>
      <c r="F30">
        <v>30</v>
      </c>
      <c r="G30" s="3">
        <v>56608</v>
      </c>
    </row>
    <row r="31" spans="1:15" x14ac:dyDescent="0.25">
      <c r="A31" t="s">
        <v>19</v>
      </c>
      <c r="B31" s="18">
        <v>42945</v>
      </c>
      <c r="C31" t="s">
        <v>8</v>
      </c>
      <c r="D31">
        <v>30</v>
      </c>
      <c r="F31">
        <v>30</v>
      </c>
      <c r="G31" s="3">
        <v>56907</v>
      </c>
    </row>
    <row r="32" spans="1:15" x14ac:dyDescent="0.25">
      <c r="A32" t="s">
        <v>19</v>
      </c>
      <c r="B32" s="18">
        <v>42944</v>
      </c>
      <c r="C32" t="s">
        <v>7</v>
      </c>
      <c r="D32">
        <v>30</v>
      </c>
      <c r="F32">
        <v>30</v>
      </c>
      <c r="G32" s="3">
        <v>57307</v>
      </c>
    </row>
    <row r="33" spans="1:8" x14ac:dyDescent="0.25">
      <c r="A33" t="s">
        <v>19</v>
      </c>
      <c r="B33" s="18">
        <v>42937</v>
      </c>
      <c r="C33" t="s">
        <v>7</v>
      </c>
      <c r="D33">
        <v>30</v>
      </c>
      <c r="F33">
        <v>30</v>
      </c>
      <c r="G33" s="3">
        <v>56988</v>
      </c>
    </row>
    <row r="34" spans="1:8" x14ac:dyDescent="0.25">
      <c r="A34" t="s">
        <v>19</v>
      </c>
      <c r="B34" s="18">
        <v>42943</v>
      </c>
      <c r="C34" t="s">
        <v>6</v>
      </c>
      <c r="D34">
        <v>30</v>
      </c>
      <c r="F34">
        <v>30</v>
      </c>
      <c r="G34" s="3">
        <v>57010</v>
      </c>
    </row>
    <row r="35" spans="1:8" x14ac:dyDescent="0.25">
      <c r="A35" t="s">
        <v>19</v>
      </c>
      <c r="B35" s="18">
        <v>42922</v>
      </c>
      <c r="C35" t="s">
        <v>6</v>
      </c>
      <c r="D35">
        <v>30</v>
      </c>
      <c r="F35">
        <v>30</v>
      </c>
      <c r="G35" s="3">
        <v>54907</v>
      </c>
    </row>
    <row r="36" spans="1:8" x14ac:dyDescent="0.25">
      <c r="A36" t="s">
        <v>19</v>
      </c>
      <c r="B36" s="18">
        <v>42940</v>
      </c>
      <c r="C36" t="s">
        <v>3</v>
      </c>
      <c r="D36">
        <v>30</v>
      </c>
      <c r="F36">
        <v>30</v>
      </c>
      <c r="G36" s="3">
        <v>56812</v>
      </c>
    </row>
    <row r="37" spans="1:8" x14ac:dyDescent="0.25">
      <c r="B37" s="18"/>
      <c r="H37">
        <v>556</v>
      </c>
    </row>
    <row r="38" spans="1:8" x14ac:dyDescent="0.25">
      <c r="A38" t="s">
        <v>19</v>
      </c>
      <c r="B38" s="18">
        <v>42941</v>
      </c>
      <c r="C38" t="s">
        <v>4</v>
      </c>
      <c r="D38">
        <v>30</v>
      </c>
      <c r="F38">
        <v>30</v>
      </c>
      <c r="G38" s="3">
        <v>57127</v>
      </c>
    </row>
    <row r="39" spans="1:8" x14ac:dyDescent="0.25">
      <c r="A39" t="s">
        <v>19</v>
      </c>
      <c r="B39" s="18">
        <v>42930</v>
      </c>
      <c r="C39" t="s">
        <v>7</v>
      </c>
      <c r="D39">
        <v>30</v>
      </c>
      <c r="F39">
        <v>30</v>
      </c>
      <c r="G39" s="3">
        <v>54412</v>
      </c>
    </row>
    <row r="40" spans="1:8" x14ac:dyDescent="0.25">
      <c r="A40" t="s">
        <v>19</v>
      </c>
      <c r="B40" s="18">
        <v>42931</v>
      </c>
      <c r="C40" t="s">
        <v>8</v>
      </c>
      <c r="D40">
        <v>30</v>
      </c>
      <c r="F40">
        <v>30</v>
      </c>
      <c r="G40" s="3" t="s">
        <v>61</v>
      </c>
    </row>
    <row r="41" spans="1:8" x14ac:dyDescent="0.25">
      <c r="A41" t="s">
        <v>19</v>
      </c>
      <c r="B41" s="18">
        <v>42934</v>
      </c>
      <c r="C41" t="s">
        <v>4</v>
      </c>
      <c r="D41">
        <v>30</v>
      </c>
      <c r="F41">
        <v>30</v>
      </c>
      <c r="G41" s="3">
        <v>54412</v>
      </c>
    </row>
    <row r="42" spans="1:8" x14ac:dyDescent="0.25">
      <c r="A42" t="s">
        <v>19</v>
      </c>
      <c r="B42" s="18">
        <v>42929</v>
      </c>
      <c r="C42" t="s">
        <v>6</v>
      </c>
      <c r="D42">
        <v>30</v>
      </c>
      <c r="F42">
        <v>30</v>
      </c>
      <c r="G42" s="3">
        <v>56073</v>
      </c>
    </row>
    <row r="43" spans="1:8" x14ac:dyDescent="0.25">
      <c r="A43" t="s">
        <v>19</v>
      </c>
      <c r="B43" s="18">
        <v>42935</v>
      </c>
      <c r="C43" t="s">
        <v>5</v>
      </c>
      <c r="D43">
        <v>30</v>
      </c>
      <c r="F43">
        <v>30</v>
      </c>
      <c r="G43" s="3">
        <v>56812</v>
      </c>
    </row>
    <row r="44" spans="1:8" x14ac:dyDescent="0.25">
      <c r="A44" t="s">
        <v>19</v>
      </c>
      <c r="B44" s="18">
        <v>42917</v>
      </c>
      <c r="C44" t="s">
        <v>8</v>
      </c>
      <c r="D44">
        <v>28</v>
      </c>
      <c r="E44">
        <v>27</v>
      </c>
      <c r="F44">
        <v>55</v>
      </c>
      <c r="G44" s="3" t="s">
        <v>62</v>
      </c>
    </row>
    <row r="45" spans="1:8" x14ac:dyDescent="0.25">
      <c r="A45" t="s">
        <v>19</v>
      </c>
      <c r="B45" s="18">
        <v>42923</v>
      </c>
      <c r="C45" t="s">
        <v>7</v>
      </c>
      <c r="D45">
        <v>30</v>
      </c>
      <c r="F45">
        <v>30</v>
      </c>
      <c r="G45" s="3">
        <v>56330</v>
      </c>
    </row>
    <row r="46" spans="1:8" x14ac:dyDescent="0.25">
      <c r="A46" t="s">
        <v>19</v>
      </c>
      <c r="B46" s="18">
        <v>42924</v>
      </c>
      <c r="C46" t="s">
        <v>8</v>
      </c>
      <c r="D46">
        <v>30</v>
      </c>
      <c r="F46">
        <v>30</v>
      </c>
      <c r="G46" s="3">
        <v>56750</v>
      </c>
    </row>
    <row r="47" spans="1:8" x14ac:dyDescent="0.25">
      <c r="A47" t="s">
        <v>19</v>
      </c>
      <c r="B47" s="18">
        <v>42926</v>
      </c>
      <c r="C47" t="s">
        <v>3</v>
      </c>
      <c r="D47">
        <v>24</v>
      </c>
      <c r="F47">
        <v>24</v>
      </c>
      <c r="G47" s="3">
        <v>56988</v>
      </c>
    </row>
    <row r="48" spans="1:8" x14ac:dyDescent="0.25">
      <c r="A48" t="s">
        <v>19</v>
      </c>
      <c r="B48" s="18">
        <v>42927</v>
      </c>
      <c r="C48" t="s">
        <v>4</v>
      </c>
      <c r="D48">
        <v>27</v>
      </c>
      <c r="F48">
        <v>27</v>
      </c>
      <c r="G48" s="3">
        <v>56301</v>
      </c>
    </row>
    <row r="49" spans="1:8" x14ac:dyDescent="0.25">
      <c r="A49" t="s">
        <v>19</v>
      </c>
      <c r="B49" s="18">
        <v>42928</v>
      </c>
      <c r="C49" t="s">
        <v>5</v>
      </c>
      <c r="D49">
        <v>30</v>
      </c>
      <c r="F49">
        <v>30</v>
      </c>
      <c r="G49" s="3">
        <v>56608</v>
      </c>
    </row>
    <row r="50" spans="1:8" x14ac:dyDescent="0.25">
      <c r="A50" t="s">
        <v>19</v>
      </c>
      <c r="B50" s="18">
        <v>42945</v>
      </c>
      <c r="C50" t="s">
        <v>8</v>
      </c>
      <c r="D50">
        <v>30</v>
      </c>
      <c r="F50">
        <v>30</v>
      </c>
      <c r="G50" s="3">
        <v>56907</v>
      </c>
    </row>
    <row r="51" spans="1:8" x14ac:dyDescent="0.25">
      <c r="A51" t="s">
        <v>19</v>
      </c>
      <c r="B51" s="18">
        <v>42944</v>
      </c>
      <c r="C51" t="s">
        <v>7</v>
      </c>
      <c r="D51">
        <v>30</v>
      </c>
      <c r="F51">
        <v>30</v>
      </c>
      <c r="G51" s="3">
        <v>57307</v>
      </c>
    </row>
    <row r="52" spans="1:8" x14ac:dyDescent="0.25">
      <c r="A52" t="s">
        <v>19</v>
      </c>
      <c r="B52" s="18">
        <v>42937</v>
      </c>
      <c r="C52" t="s">
        <v>7</v>
      </c>
      <c r="D52">
        <v>30</v>
      </c>
      <c r="F52">
        <v>30</v>
      </c>
      <c r="G52" s="3">
        <v>56988</v>
      </c>
    </row>
    <row r="53" spans="1:8" x14ac:dyDescent="0.25">
      <c r="A53" t="s">
        <v>19</v>
      </c>
      <c r="B53" s="18">
        <v>42943</v>
      </c>
      <c r="C53" t="s">
        <v>6</v>
      </c>
      <c r="D53">
        <v>30</v>
      </c>
      <c r="F53">
        <v>30</v>
      </c>
      <c r="G53" s="3">
        <v>57010</v>
      </c>
    </row>
    <row r="54" spans="1:8" x14ac:dyDescent="0.25">
      <c r="A54" t="s">
        <v>19</v>
      </c>
      <c r="B54" s="18">
        <v>42922</v>
      </c>
      <c r="C54" t="s">
        <v>6</v>
      </c>
      <c r="D54">
        <v>30</v>
      </c>
      <c r="F54">
        <v>30</v>
      </c>
      <c r="G54" s="3">
        <v>54907</v>
      </c>
    </row>
    <row r="55" spans="1:8" x14ac:dyDescent="0.25">
      <c r="A55" t="s">
        <v>19</v>
      </c>
      <c r="B55" s="18">
        <v>42940</v>
      </c>
      <c r="C55" t="s">
        <v>3</v>
      </c>
      <c r="D55">
        <v>30</v>
      </c>
      <c r="F55">
        <v>30</v>
      </c>
      <c r="G55" s="3">
        <v>56812</v>
      </c>
    </row>
    <row r="56" spans="1:8" x14ac:dyDescent="0.25">
      <c r="H56">
        <v>556</v>
      </c>
    </row>
    <row r="57" spans="1:8" x14ac:dyDescent="0.25">
      <c r="A57" t="s">
        <v>19</v>
      </c>
      <c r="B57" s="18">
        <v>42941</v>
      </c>
      <c r="C57" t="s">
        <v>4</v>
      </c>
      <c r="D57">
        <v>30</v>
      </c>
      <c r="F57">
        <v>30</v>
      </c>
      <c r="G57" s="3">
        <v>57127</v>
      </c>
    </row>
    <row r="58" spans="1:8" x14ac:dyDescent="0.25">
      <c r="A58" t="s">
        <v>19</v>
      </c>
      <c r="B58" s="18">
        <v>42930</v>
      </c>
      <c r="C58" t="s">
        <v>7</v>
      </c>
      <c r="D58">
        <v>30</v>
      </c>
      <c r="F58">
        <v>30</v>
      </c>
      <c r="G58" s="3">
        <v>54412</v>
      </c>
    </row>
    <row r="59" spans="1:8" x14ac:dyDescent="0.25">
      <c r="A59" t="s">
        <v>19</v>
      </c>
      <c r="B59" s="18">
        <v>42931</v>
      </c>
      <c r="C59" t="s">
        <v>8</v>
      </c>
      <c r="D59">
        <v>30</v>
      </c>
      <c r="F59">
        <v>30</v>
      </c>
      <c r="G59" s="3" t="s">
        <v>61</v>
      </c>
    </row>
    <row r="60" spans="1:8" x14ac:dyDescent="0.25">
      <c r="A60" t="s">
        <v>19</v>
      </c>
      <c r="B60" s="18">
        <v>42934</v>
      </c>
      <c r="C60" t="s">
        <v>4</v>
      </c>
      <c r="D60">
        <v>30</v>
      </c>
      <c r="F60">
        <v>30</v>
      </c>
      <c r="G60" s="3">
        <v>54412</v>
      </c>
    </row>
    <row r="61" spans="1:8" x14ac:dyDescent="0.25">
      <c r="A61" t="s">
        <v>19</v>
      </c>
      <c r="B61" s="18">
        <v>42929</v>
      </c>
      <c r="C61" t="s">
        <v>6</v>
      </c>
      <c r="D61">
        <v>30</v>
      </c>
      <c r="F61">
        <v>30</v>
      </c>
      <c r="G61" s="3">
        <v>56073</v>
      </c>
    </row>
    <row r="62" spans="1:8" x14ac:dyDescent="0.25">
      <c r="A62" t="s">
        <v>19</v>
      </c>
      <c r="B62" s="18">
        <v>42935</v>
      </c>
      <c r="C62" t="s">
        <v>5</v>
      </c>
      <c r="D62">
        <v>30</v>
      </c>
      <c r="F62">
        <v>30</v>
      </c>
      <c r="G62" s="3">
        <v>56812</v>
      </c>
    </row>
    <row r="63" spans="1:8" x14ac:dyDescent="0.25">
      <c r="A63" t="s">
        <v>19</v>
      </c>
      <c r="B63" s="18">
        <v>42917</v>
      </c>
      <c r="C63" t="s">
        <v>8</v>
      </c>
      <c r="D63">
        <v>28</v>
      </c>
      <c r="E63">
        <v>27</v>
      </c>
      <c r="F63">
        <v>55</v>
      </c>
      <c r="G63" s="3" t="s">
        <v>62</v>
      </c>
    </row>
    <row r="64" spans="1:8" x14ac:dyDescent="0.25">
      <c r="A64" t="s">
        <v>19</v>
      </c>
      <c r="B64" s="18">
        <v>42923</v>
      </c>
      <c r="C64" t="s">
        <v>7</v>
      </c>
      <c r="D64">
        <v>30</v>
      </c>
      <c r="F64">
        <v>30</v>
      </c>
      <c r="G64" s="3">
        <v>56330</v>
      </c>
    </row>
    <row r="65" spans="1:8" x14ac:dyDescent="0.25">
      <c r="A65" t="s">
        <v>19</v>
      </c>
      <c r="B65" s="18">
        <v>42924</v>
      </c>
      <c r="C65" t="s">
        <v>8</v>
      </c>
      <c r="D65">
        <v>30</v>
      </c>
      <c r="F65">
        <v>30</v>
      </c>
      <c r="G65" s="3">
        <v>56750</v>
      </c>
    </row>
    <row r="66" spans="1:8" x14ac:dyDescent="0.25">
      <c r="A66" t="s">
        <v>19</v>
      </c>
      <c r="B66" s="18">
        <v>42926</v>
      </c>
      <c r="C66" t="s">
        <v>3</v>
      </c>
      <c r="D66">
        <v>24</v>
      </c>
      <c r="F66">
        <v>24</v>
      </c>
      <c r="G66" s="3">
        <v>56988</v>
      </c>
    </row>
    <row r="67" spans="1:8" x14ac:dyDescent="0.25">
      <c r="A67" t="s">
        <v>19</v>
      </c>
      <c r="B67" s="18">
        <v>42927</v>
      </c>
      <c r="C67" t="s">
        <v>4</v>
      </c>
      <c r="D67">
        <v>27</v>
      </c>
      <c r="F67">
        <v>27</v>
      </c>
      <c r="G67" s="3">
        <v>56301</v>
      </c>
    </row>
    <row r="68" spans="1:8" x14ac:dyDescent="0.25">
      <c r="A68" t="s">
        <v>19</v>
      </c>
      <c r="B68" s="18">
        <v>42928</v>
      </c>
      <c r="C68" t="s">
        <v>5</v>
      </c>
      <c r="D68">
        <v>30</v>
      </c>
      <c r="F68">
        <v>30</v>
      </c>
      <c r="G68" s="3">
        <v>56608</v>
      </c>
    </row>
    <row r="69" spans="1:8" x14ac:dyDescent="0.25">
      <c r="A69" t="s">
        <v>19</v>
      </c>
      <c r="B69" s="18">
        <v>42945</v>
      </c>
      <c r="C69" t="s">
        <v>8</v>
      </c>
      <c r="D69">
        <v>30</v>
      </c>
      <c r="F69">
        <v>30</v>
      </c>
      <c r="G69" s="3">
        <v>56907</v>
      </c>
    </row>
    <row r="70" spans="1:8" x14ac:dyDescent="0.25">
      <c r="A70" t="s">
        <v>19</v>
      </c>
      <c r="B70" s="18">
        <v>42944</v>
      </c>
      <c r="C70" t="s">
        <v>7</v>
      </c>
      <c r="D70">
        <v>30</v>
      </c>
      <c r="F70">
        <v>30</v>
      </c>
      <c r="G70" s="3">
        <v>57307</v>
      </c>
    </row>
    <row r="71" spans="1:8" x14ac:dyDescent="0.25">
      <c r="A71" t="s">
        <v>19</v>
      </c>
      <c r="B71" s="18">
        <v>42937</v>
      </c>
      <c r="C71" t="s">
        <v>7</v>
      </c>
      <c r="D71">
        <v>30</v>
      </c>
      <c r="F71">
        <v>30</v>
      </c>
      <c r="G71" s="3">
        <v>56988</v>
      </c>
    </row>
    <row r="72" spans="1:8" x14ac:dyDescent="0.25">
      <c r="A72" t="s">
        <v>19</v>
      </c>
      <c r="B72" s="18">
        <v>42943</v>
      </c>
      <c r="C72" t="s">
        <v>6</v>
      </c>
      <c r="D72">
        <v>30</v>
      </c>
      <c r="F72">
        <v>30</v>
      </c>
      <c r="G72" s="3">
        <v>57010</v>
      </c>
    </row>
    <row r="73" spans="1:8" x14ac:dyDescent="0.25">
      <c r="A73" t="s">
        <v>19</v>
      </c>
      <c r="B73" s="18">
        <v>42922</v>
      </c>
      <c r="C73" t="s">
        <v>6</v>
      </c>
      <c r="D73">
        <v>30</v>
      </c>
      <c r="F73">
        <v>30</v>
      </c>
      <c r="G73" s="3">
        <v>54907</v>
      </c>
    </row>
    <row r="74" spans="1:8" x14ac:dyDescent="0.25">
      <c r="A74" t="s">
        <v>19</v>
      </c>
      <c r="B74" s="18">
        <v>42940</v>
      </c>
      <c r="C74" t="s">
        <v>3</v>
      </c>
      <c r="D74">
        <v>30</v>
      </c>
      <c r="F74">
        <v>30</v>
      </c>
      <c r="G74" s="3">
        <v>56812</v>
      </c>
    </row>
    <row r="75" spans="1:8" x14ac:dyDescent="0.25">
      <c r="H75">
        <v>556</v>
      </c>
    </row>
    <row r="76" spans="1:8" x14ac:dyDescent="0.25">
      <c r="A76" t="s">
        <v>19</v>
      </c>
      <c r="B76" s="18">
        <v>42965</v>
      </c>
      <c r="C76" t="s">
        <v>7</v>
      </c>
      <c r="D76">
        <v>30</v>
      </c>
      <c r="F76">
        <v>30</v>
      </c>
      <c r="G76" s="3">
        <v>57010</v>
      </c>
    </row>
    <row r="77" spans="1:8" x14ac:dyDescent="0.25">
      <c r="A77" t="s">
        <v>19</v>
      </c>
      <c r="B77" s="18">
        <v>42963</v>
      </c>
      <c r="C77" t="s">
        <v>5</v>
      </c>
      <c r="D77">
        <v>30</v>
      </c>
      <c r="F77">
        <v>30</v>
      </c>
      <c r="G77" s="3">
        <v>57009</v>
      </c>
    </row>
    <row r="78" spans="1:8" x14ac:dyDescent="0.25">
      <c r="A78" t="s">
        <v>19</v>
      </c>
      <c r="B78" s="18">
        <v>42973</v>
      </c>
      <c r="C78" t="s">
        <v>8</v>
      </c>
      <c r="D78">
        <v>27</v>
      </c>
      <c r="F78">
        <v>27</v>
      </c>
      <c r="G78" s="3">
        <v>58708</v>
      </c>
    </row>
    <row r="79" spans="1:8" x14ac:dyDescent="0.25">
      <c r="A79" t="s">
        <v>19</v>
      </c>
      <c r="B79" s="18">
        <v>42973</v>
      </c>
      <c r="C79" t="s">
        <v>8</v>
      </c>
      <c r="D79">
        <v>30</v>
      </c>
      <c r="F79">
        <v>30</v>
      </c>
      <c r="G79" s="3">
        <v>56935</v>
      </c>
    </row>
    <row r="80" spans="1:8" x14ac:dyDescent="0.25">
      <c r="A80" t="s">
        <v>19</v>
      </c>
      <c r="B80" s="18">
        <v>42948</v>
      </c>
      <c r="C80" t="s">
        <v>4</v>
      </c>
      <c r="D80">
        <v>30</v>
      </c>
      <c r="F80">
        <v>30</v>
      </c>
      <c r="G80" s="3">
        <v>57446</v>
      </c>
    </row>
    <row r="81" spans="1:8" x14ac:dyDescent="0.25">
      <c r="A81" t="s">
        <v>19</v>
      </c>
      <c r="B81" s="18">
        <v>42958</v>
      </c>
      <c r="C81" t="s">
        <v>7</v>
      </c>
      <c r="D81">
        <v>30</v>
      </c>
      <c r="F81">
        <v>30</v>
      </c>
      <c r="G81" s="3" t="s">
        <v>65</v>
      </c>
    </row>
    <row r="82" spans="1:8" x14ac:dyDescent="0.25">
      <c r="A82" t="s">
        <v>19</v>
      </c>
      <c r="B82" s="18">
        <v>42975</v>
      </c>
      <c r="C82" t="s">
        <v>3</v>
      </c>
      <c r="D82">
        <v>30</v>
      </c>
      <c r="F82">
        <v>30</v>
      </c>
      <c r="G82" s="3">
        <v>58708</v>
      </c>
    </row>
    <row r="83" spans="1:8" x14ac:dyDescent="0.25">
      <c r="A83" t="s">
        <v>19</v>
      </c>
      <c r="B83" s="18">
        <v>42951</v>
      </c>
      <c r="C83" t="s">
        <v>7</v>
      </c>
      <c r="D83">
        <v>30</v>
      </c>
      <c r="F83">
        <v>30</v>
      </c>
      <c r="G83" s="3">
        <v>57010</v>
      </c>
    </row>
    <row r="84" spans="1:8" x14ac:dyDescent="0.25">
      <c r="A84" t="s">
        <v>19</v>
      </c>
      <c r="B84" s="18">
        <v>42956</v>
      </c>
      <c r="C84" t="s">
        <v>5</v>
      </c>
      <c r="D84">
        <v>28</v>
      </c>
      <c r="F84">
        <v>28</v>
      </c>
      <c r="G84" s="3">
        <v>57885</v>
      </c>
    </row>
    <row r="85" spans="1:8" x14ac:dyDescent="0.25">
      <c r="A85" t="s">
        <v>19</v>
      </c>
      <c r="B85" s="18">
        <v>42977</v>
      </c>
      <c r="C85" t="s">
        <v>5</v>
      </c>
      <c r="D85">
        <v>30</v>
      </c>
      <c r="F85">
        <v>30</v>
      </c>
      <c r="G85" s="3">
        <v>58708</v>
      </c>
    </row>
    <row r="86" spans="1:8" x14ac:dyDescent="0.25">
      <c r="A86" t="s">
        <v>19</v>
      </c>
      <c r="B86" s="18">
        <v>42971</v>
      </c>
      <c r="C86" t="s">
        <v>6</v>
      </c>
      <c r="D86">
        <v>30</v>
      </c>
      <c r="F86">
        <v>30</v>
      </c>
      <c r="G86" s="3" t="s">
        <v>66</v>
      </c>
    </row>
    <row r="87" spans="1:8" x14ac:dyDescent="0.25">
      <c r="A87" t="s">
        <v>19</v>
      </c>
      <c r="B87" s="18">
        <v>42969</v>
      </c>
      <c r="C87" t="s">
        <v>4</v>
      </c>
      <c r="D87">
        <v>30</v>
      </c>
      <c r="F87">
        <v>30</v>
      </c>
      <c r="G87" s="3">
        <v>58389</v>
      </c>
    </row>
    <row r="88" spans="1:8" x14ac:dyDescent="0.25">
      <c r="A88" t="s">
        <v>19</v>
      </c>
      <c r="B88" s="18">
        <v>42970</v>
      </c>
      <c r="C88" t="s">
        <v>5</v>
      </c>
      <c r="D88">
        <v>30</v>
      </c>
      <c r="F88">
        <v>30</v>
      </c>
      <c r="G88" s="3">
        <v>57731</v>
      </c>
    </row>
    <row r="89" spans="1:8" x14ac:dyDescent="0.25">
      <c r="A89" t="s">
        <v>19</v>
      </c>
      <c r="B89" s="18">
        <v>42949</v>
      </c>
      <c r="C89" t="s">
        <v>5</v>
      </c>
      <c r="D89">
        <v>30</v>
      </c>
      <c r="F89">
        <v>30</v>
      </c>
      <c r="G89" s="3">
        <v>56472</v>
      </c>
    </row>
    <row r="90" spans="1:8" x14ac:dyDescent="0.25">
      <c r="A90" t="s">
        <v>19</v>
      </c>
      <c r="B90" s="18">
        <v>42961</v>
      </c>
      <c r="C90" t="s">
        <v>3</v>
      </c>
      <c r="D90">
        <v>30</v>
      </c>
      <c r="F90">
        <v>30</v>
      </c>
      <c r="G90" s="3">
        <v>58007</v>
      </c>
    </row>
    <row r="91" spans="1:8" x14ac:dyDescent="0.25">
      <c r="A91" t="s">
        <v>19</v>
      </c>
      <c r="B91" s="18">
        <v>42978</v>
      </c>
      <c r="C91" t="s">
        <v>6</v>
      </c>
      <c r="D91">
        <v>30</v>
      </c>
      <c r="F91">
        <v>30</v>
      </c>
      <c r="G91" s="3">
        <v>58804</v>
      </c>
    </row>
    <row r="92" spans="1:8" x14ac:dyDescent="0.25">
      <c r="A92" t="s">
        <v>19</v>
      </c>
      <c r="B92" s="18">
        <v>42968</v>
      </c>
      <c r="C92" t="s">
        <v>3</v>
      </c>
      <c r="D92">
        <v>30</v>
      </c>
      <c r="F92">
        <v>30</v>
      </c>
      <c r="G92" s="3">
        <v>57731</v>
      </c>
    </row>
    <row r="93" spans="1:8" x14ac:dyDescent="0.25">
      <c r="A93" t="s">
        <v>19</v>
      </c>
      <c r="B93" s="18">
        <v>42972</v>
      </c>
      <c r="C93" t="s">
        <v>7</v>
      </c>
      <c r="D93">
        <v>30</v>
      </c>
      <c r="F93">
        <v>30</v>
      </c>
      <c r="G93" s="3">
        <v>58393</v>
      </c>
    </row>
    <row r="94" spans="1:8" x14ac:dyDescent="0.25">
      <c r="H94">
        <v>535</v>
      </c>
    </row>
    <row r="95" spans="1:8" x14ac:dyDescent="0.25">
      <c r="A95" t="s">
        <v>19</v>
      </c>
      <c r="B95" s="18">
        <v>42965</v>
      </c>
      <c r="C95" t="s">
        <v>7</v>
      </c>
      <c r="D95">
        <v>30</v>
      </c>
      <c r="F95">
        <v>30</v>
      </c>
      <c r="G95" s="3">
        <v>57010</v>
      </c>
    </row>
    <row r="96" spans="1:8" x14ac:dyDescent="0.25">
      <c r="A96" t="s">
        <v>19</v>
      </c>
      <c r="B96" s="18">
        <v>42963</v>
      </c>
      <c r="C96" t="s">
        <v>5</v>
      </c>
      <c r="D96">
        <v>30</v>
      </c>
      <c r="F96">
        <v>30</v>
      </c>
      <c r="G96" s="3">
        <v>57009</v>
      </c>
    </row>
    <row r="97" spans="1:7" x14ac:dyDescent="0.25">
      <c r="A97" t="s">
        <v>19</v>
      </c>
      <c r="B97" s="18">
        <v>42973</v>
      </c>
      <c r="C97" t="s">
        <v>8</v>
      </c>
      <c r="D97">
        <v>27</v>
      </c>
      <c r="F97">
        <v>27</v>
      </c>
      <c r="G97" s="3">
        <v>58708</v>
      </c>
    </row>
    <row r="98" spans="1:7" x14ac:dyDescent="0.25">
      <c r="A98" t="s">
        <v>19</v>
      </c>
      <c r="B98" s="18">
        <v>42973</v>
      </c>
      <c r="C98" t="s">
        <v>8</v>
      </c>
      <c r="D98">
        <v>30</v>
      </c>
      <c r="F98">
        <v>30</v>
      </c>
      <c r="G98" s="3">
        <v>56935</v>
      </c>
    </row>
    <row r="99" spans="1:7" x14ac:dyDescent="0.25">
      <c r="A99" t="s">
        <v>19</v>
      </c>
      <c r="B99" s="18">
        <v>42948</v>
      </c>
      <c r="C99" t="s">
        <v>4</v>
      </c>
      <c r="D99">
        <v>30</v>
      </c>
      <c r="F99">
        <v>30</v>
      </c>
      <c r="G99" s="3">
        <v>57446</v>
      </c>
    </row>
    <row r="100" spans="1:7" x14ac:dyDescent="0.25">
      <c r="A100" t="s">
        <v>19</v>
      </c>
      <c r="B100" s="18">
        <v>42958</v>
      </c>
      <c r="C100" t="s">
        <v>7</v>
      </c>
      <c r="D100">
        <v>30</v>
      </c>
      <c r="F100">
        <v>30</v>
      </c>
      <c r="G100" s="3" t="s">
        <v>65</v>
      </c>
    </row>
    <row r="101" spans="1:7" x14ac:dyDescent="0.25">
      <c r="A101" t="s">
        <v>19</v>
      </c>
      <c r="B101" s="18">
        <v>42975</v>
      </c>
      <c r="C101" t="s">
        <v>3</v>
      </c>
      <c r="D101">
        <v>30</v>
      </c>
      <c r="F101">
        <v>30</v>
      </c>
      <c r="G101" s="3">
        <v>58708</v>
      </c>
    </row>
    <row r="102" spans="1:7" x14ac:dyDescent="0.25">
      <c r="A102" t="s">
        <v>19</v>
      </c>
      <c r="B102" s="18">
        <v>42951</v>
      </c>
      <c r="C102" t="s">
        <v>7</v>
      </c>
      <c r="D102">
        <v>30</v>
      </c>
      <c r="F102">
        <v>30</v>
      </c>
      <c r="G102" s="3">
        <v>57010</v>
      </c>
    </row>
    <row r="103" spans="1:7" x14ac:dyDescent="0.25">
      <c r="A103" t="s">
        <v>19</v>
      </c>
      <c r="B103" s="18">
        <v>42956</v>
      </c>
      <c r="C103" t="s">
        <v>5</v>
      </c>
      <c r="D103">
        <v>28</v>
      </c>
      <c r="F103">
        <v>28</v>
      </c>
      <c r="G103" s="3">
        <v>57885</v>
      </c>
    </row>
    <row r="104" spans="1:7" x14ac:dyDescent="0.25">
      <c r="A104" t="s">
        <v>19</v>
      </c>
      <c r="B104" s="18">
        <v>42977</v>
      </c>
      <c r="C104" t="s">
        <v>5</v>
      </c>
      <c r="D104">
        <v>30</v>
      </c>
      <c r="F104">
        <v>30</v>
      </c>
      <c r="G104" s="3">
        <v>58708</v>
      </c>
    </row>
    <row r="105" spans="1:7" x14ac:dyDescent="0.25">
      <c r="A105" t="s">
        <v>19</v>
      </c>
      <c r="B105" s="18">
        <v>42971</v>
      </c>
      <c r="C105" t="s">
        <v>6</v>
      </c>
      <c r="D105">
        <v>30</v>
      </c>
      <c r="F105">
        <v>30</v>
      </c>
      <c r="G105" s="3" t="s">
        <v>66</v>
      </c>
    </row>
    <row r="106" spans="1:7" x14ac:dyDescent="0.25">
      <c r="A106" t="s">
        <v>19</v>
      </c>
      <c r="B106" s="18">
        <v>42969</v>
      </c>
      <c r="C106" t="s">
        <v>4</v>
      </c>
      <c r="D106">
        <v>30</v>
      </c>
      <c r="F106">
        <v>30</v>
      </c>
      <c r="G106" s="3">
        <v>58389</v>
      </c>
    </row>
    <row r="107" spans="1:7" x14ac:dyDescent="0.25">
      <c r="A107" t="s">
        <v>19</v>
      </c>
      <c r="B107" s="18">
        <v>42970</v>
      </c>
      <c r="C107" t="s">
        <v>5</v>
      </c>
      <c r="D107">
        <v>30</v>
      </c>
      <c r="F107">
        <v>30</v>
      </c>
      <c r="G107" s="3">
        <v>57731</v>
      </c>
    </row>
    <row r="108" spans="1:7" x14ac:dyDescent="0.25">
      <c r="A108" t="s">
        <v>19</v>
      </c>
      <c r="B108" s="18">
        <v>42949</v>
      </c>
      <c r="C108" t="s">
        <v>5</v>
      </c>
      <c r="D108">
        <v>30</v>
      </c>
      <c r="F108">
        <v>30</v>
      </c>
      <c r="G108" s="3">
        <v>56472</v>
      </c>
    </row>
    <row r="109" spans="1:7" x14ac:dyDescent="0.25">
      <c r="A109" t="s">
        <v>19</v>
      </c>
      <c r="B109" s="18">
        <v>42961</v>
      </c>
      <c r="C109" t="s">
        <v>3</v>
      </c>
      <c r="D109">
        <v>30</v>
      </c>
      <c r="F109">
        <v>30</v>
      </c>
      <c r="G109" s="3">
        <v>58007</v>
      </c>
    </row>
    <row r="110" spans="1:7" x14ac:dyDescent="0.25">
      <c r="A110" t="s">
        <v>19</v>
      </c>
      <c r="B110" s="18">
        <v>42978</v>
      </c>
      <c r="C110" t="s">
        <v>6</v>
      </c>
      <c r="D110">
        <v>30</v>
      </c>
      <c r="F110">
        <v>30</v>
      </c>
      <c r="G110" s="3">
        <v>58804</v>
      </c>
    </row>
    <row r="111" spans="1:7" x14ac:dyDescent="0.25">
      <c r="A111" t="s">
        <v>19</v>
      </c>
      <c r="B111" s="18">
        <v>42968</v>
      </c>
      <c r="C111" t="s">
        <v>3</v>
      </c>
      <c r="D111">
        <v>30</v>
      </c>
      <c r="F111">
        <v>30</v>
      </c>
      <c r="G111" s="3">
        <v>57731</v>
      </c>
    </row>
    <row r="112" spans="1:7" x14ac:dyDescent="0.25">
      <c r="A112" t="s">
        <v>19</v>
      </c>
      <c r="B112" s="18">
        <v>42972</v>
      </c>
      <c r="C112" t="s">
        <v>7</v>
      </c>
      <c r="D112">
        <v>30</v>
      </c>
      <c r="F112">
        <v>30</v>
      </c>
      <c r="G112" s="3">
        <v>58393</v>
      </c>
    </row>
    <row r="113" spans="1:8" x14ac:dyDescent="0.25">
      <c r="H113">
        <v>535</v>
      </c>
    </row>
    <row r="114" spans="1:8" x14ac:dyDescent="0.25">
      <c r="A114" t="s">
        <v>19</v>
      </c>
      <c r="B114" s="18">
        <v>42985</v>
      </c>
      <c r="C114" t="s">
        <v>6</v>
      </c>
      <c r="D114">
        <v>30</v>
      </c>
      <c r="F114">
        <v>30</v>
      </c>
      <c r="G114" s="3">
        <v>58805</v>
      </c>
    </row>
    <row r="115" spans="1:8" x14ac:dyDescent="0.25">
      <c r="A115" t="s">
        <v>19</v>
      </c>
      <c r="B115" s="18">
        <v>42986</v>
      </c>
      <c r="C115" t="s">
        <v>7</v>
      </c>
      <c r="D115">
        <v>30</v>
      </c>
      <c r="F115">
        <v>30</v>
      </c>
      <c r="G115" s="3">
        <v>58805</v>
      </c>
    </row>
    <row r="116" spans="1:8" x14ac:dyDescent="0.25">
      <c r="A116" t="s">
        <v>19</v>
      </c>
      <c r="B116" s="18">
        <v>42984</v>
      </c>
      <c r="C116" t="s">
        <v>5</v>
      </c>
      <c r="D116">
        <v>30</v>
      </c>
      <c r="F116">
        <v>30</v>
      </c>
      <c r="G116" s="3">
        <v>59093</v>
      </c>
    </row>
    <row r="117" spans="1:8" x14ac:dyDescent="0.25">
      <c r="A117" t="s">
        <v>19</v>
      </c>
      <c r="B117" s="18">
        <v>42989</v>
      </c>
      <c r="C117" t="s">
        <v>3</v>
      </c>
      <c r="D117">
        <v>30</v>
      </c>
      <c r="F117">
        <v>30</v>
      </c>
      <c r="G117" s="3">
        <v>57448</v>
      </c>
    </row>
    <row r="118" spans="1:8" x14ac:dyDescent="0.25">
      <c r="A118" t="s">
        <v>19</v>
      </c>
      <c r="B118" s="18">
        <v>42990</v>
      </c>
      <c r="C118" t="s">
        <v>4</v>
      </c>
      <c r="D118">
        <v>30</v>
      </c>
      <c r="F118">
        <v>30</v>
      </c>
      <c r="G118" s="3">
        <v>59191</v>
      </c>
    </row>
    <row r="119" spans="1:8" x14ac:dyDescent="0.25">
      <c r="A119" t="s">
        <v>19</v>
      </c>
      <c r="B119" s="18">
        <v>42994</v>
      </c>
      <c r="C119" t="s">
        <v>8</v>
      </c>
      <c r="D119">
        <v>30</v>
      </c>
      <c r="F119">
        <v>30</v>
      </c>
      <c r="G119" s="3">
        <v>59111</v>
      </c>
    </row>
    <row r="120" spans="1:8" x14ac:dyDescent="0.25">
      <c r="A120" t="s">
        <v>19</v>
      </c>
      <c r="B120" s="18">
        <v>42980</v>
      </c>
      <c r="C120" t="s">
        <v>8</v>
      </c>
      <c r="D120">
        <v>30</v>
      </c>
      <c r="F120">
        <v>30</v>
      </c>
      <c r="G120" s="3">
        <v>58708</v>
      </c>
    </row>
    <row r="121" spans="1:8" x14ac:dyDescent="0.25">
      <c r="A121" t="s">
        <v>19</v>
      </c>
      <c r="B121" s="18">
        <v>43002</v>
      </c>
      <c r="C121" t="s">
        <v>9</v>
      </c>
      <c r="D121">
        <v>24</v>
      </c>
      <c r="F121">
        <v>24</v>
      </c>
      <c r="G121" s="3">
        <v>59435</v>
      </c>
    </row>
    <row r="122" spans="1:8" x14ac:dyDescent="0.25">
      <c r="A122" t="s">
        <v>19</v>
      </c>
      <c r="B122" s="18">
        <v>42982</v>
      </c>
      <c r="C122" t="s">
        <v>3</v>
      </c>
      <c r="D122">
        <v>30</v>
      </c>
      <c r="F122">
        <v>30</v>
      </c>
      <c r="G122" s="3">
        <v>57933</v>
      </c>
    </row>
    <row r="123" spans="1:8" x14ac:dyDescent="0.25">
      <c r="A123" t="s">
        <v>19</v>
      </c>
      <c r="B123" s="18">
        <v>42979</v>
      </c>
      <c r="C123" t="s">
        <v>7</v>
      </c>
      <c r="D123">
        <v>30</v>
      </c>
      <c r="F123">
        <v>30</v>
      </c>
      <c r="G123" s="3">
        <v>58209</v>
      </c>
    </row>
    <row r="124" spans="1:8" x14ac:dyDescent="0.25">
      <c r="A124" t="s">
        <v>19</v>
      </c>
      <c r="B124" s="18">
        <v>42987</v>
      </c>
      <c r="C124" t="s">
        <v>8</v>
      </c>
      <c r="D124">
        <v>28</v>
      </c>
      <c r="F124">
        <v>28</v>
      </c>
      <c r="G124" s="3">
        <v>59134</v>
      </c>
    </row>
    <row r="125" spans="1:8" x14ac:dyDescent="0.25">
      <c r="A125" t="s">
        <v>19</v>
      </c>
      <c r="B125" s="18">
        <v>42996</v>
      </c>
      <c r="C125" t="s">
        <v>3</v>
      </c>
      <c r="D125">
        <v>30</v>
      </c>
      <c r="F125">
        <v>30</v>
      </c>
      <c r="G125" s="3">
        <v>56935</v>
      </c>
    </row>
    <row r="126" spans="1:8" x14ac:dyDescent="0.25">
      <c r="A126" t="s">
        <v>19</v>
      </c>
      <c r="B126" s="18">
        <v>43003</v>
      </c>
      <c r="C126" t="s">
        <v>3</v>
      </c>
      <c r="D126">
        <v>30</v>
      </c>
      <c r="F126">
        <v>30</v>
      </c>
      <c r="G126" s="3">
        <v>58708</v>
      </c>
    </row>
    <row r="127" spans="1:8" x14ac:dyDescent="0.25">
      <c r="A127" t="s">
        <v>19</v>
      </c>
      <c r="B127" s="18">
        <v>42997</v>
      </c>
      <c r="C127" t="s">
        <v>4</v>
      </c>
      <c r="D127">
        <v>30</v>
      </c>
      <c r="F127">
        <v>30</v>
      </c>
      <c r="G127" s="3">
        <v>56935</v>
      </c>
    </row>
    <row r="128" spans="1:8" x14ac:dyDescent="0.25">
      <c r="A128" t="s">
        <v>19</v>
      </c>
      <c r="B128" s="18">
        <v>42999</v>
      </c>
      <c r="C128" t="s">
        <v>6</v>
      </c>
      <c r="D128">
        <v>30</v>
      </c>
      <c r="F128">
        <v>30</v>
      </c>
      <c r="G128" s="3">
        <v>59308</v>
      </c>
    </row>
    <row r="129" spans="1:8" x14ac:dyDescent="0.25">
      <c r="A129" t="s">
        <v>19</v>
      </c>
      <c r="B129" s="18">
        <v>43000</v>
      </c>
      <c r="C129" t="s">
        <v>7</v>
      </c>
      <c r="D129">
        <v>30</v>
      </c>
      <c r="F129">
        <v>30</v>
      </c>
      <c r="G129" s="3">
        <v>59308</v>
      </c>
    </row>
    <row r="130" spans="1:8" x14ac:dyDescent="0.25">
      <c r="A130" t="s">
        <v>19</v>
      </c>
      <c r="B130" s="18">
        <v>42992</v>
      </c>
      <c r="C130" t="s">
        <v>6</v>
      </c>
      <c r="D130">
        <v>30</v>
      </c>
      <c r="F130">
        <v>30</v>
      </c>
      <c r="G130" s="3">
        <v>56093</v>
      </c>
    </row>
    <row r="131" spans="1:8" x14ac:dyDescent="0.25">
      <c r="A131" t="s">
        <v>19</v>
      </c>
      <c r="B131" s="18">
        <v>42998</v>
      </c>
      <c r="C131" t="s">
        <v>5</v>
      </c>
      <c r="D131">
        <v>30</v>
      </c>
      <c r="F131">
        <v>30</v>
      </c>
      <c r="G131" s="3">
        <v>58209</v>
      </c>
    </row>
    <row r="132" spans="1:8" x14ac:dyDescent="0.25">
      <c r="H132">
        <v>532</v>
      </c>
    </row>
    <row r="133" spans="1:8" x14ac:dyDescent="0.25">
      <c r="B133" s="18"/>
    </row>
    <row r="134" spans="1:8" x14ac:dyDescent="0.25">
      <c r="B134" s="18"/>
    </row>
    <row r="135" spans="1:8" x14ac:dyDescent="0.25">
      <c r="B135" s="18"/>
    </row>
    <row r="136" spans="1:8" x14ac:dyDescent="0.25">
      <c r="B136" s="18"/>
    </row>
    <row r="137" spans="1:8" x14ac:dyDescent="0.25">
      <c r="A137" t="s">
        <v>19</v>
      </c>
      <c r="B137" s="18">
        <v>43013</v>
      </c>
      <c r="C137" t="s">
        <v>6</v>
      </c>
      <c r="D137">
        <v>29</v>
      </c>
      <c r="F137">
        <v>29</v>
      </c>
      <c r="G137" s="3">
        <v>58684</v>
      </c>
    </row>
    <row r="138" spans="1:8" x14ac:dyDescent="0.25">
      <c r="A138" t="s">
        <v>19</v>
      </c>
      <c r="B138" s="18">
        <v>43014</v>
      </c>
      <c r="C138" t="s">
        <v>7</v>
      </c>
      <c r="D138">
        <v>29</v>
      </c>
      <c r="F138">
        <v>29</v>
      </c>
      <c r="G138" s="3">
        <v>58684</v>
      </c>
    </row>
    <row r="139" spans="1:8" x14ac:dyDescent="0.25">
      <c r="A139" t="s">
        <v>19</v>
      </c>
      <c r="B139" s="18">
        <v>43015</v>
      </c>
      <c r="C139" t="s">
        <v>8</v>
      </c>
      <c r="D139">
        <v>22</v>
      </c>
      <c r="E139">
        <v>30</v>
      </c>
      <c r="F139">
        <v>52</v>
      </c>
      <c r="G139" s="3">
        <v>59966</v>
      </c>
    </row>
    <row r="140" spans="1:8" x14ac:dyDescent="0.25">
      <c r="A140" t="s">
        <v>19</v>
      </c>
      <c r="B140" s="18">
        <v>43016</v>
      </c>
      <c r="C140" t="s">
        <v>9</v>
      </c>
      <c r="D140">
        <v>22</v>
      </c>
      <c r="E140">
        <v>29</v>
      </c>
      <c r="F140">
        <v>51</v>
      </c>
      <c r="G140" s="3">
        <v>58708</v>
      </c>
    </row>
    <row r="141" spans="1:8" x14ac:dyDescent="0.25">
      <c r="A141" t="s">
        <v>19</v>
      </c>
      <c r="B141" s="18">
        <v>43017</v>
      </c>
      <c r="C141" t="s">
        <v>3</v>
      </c>
      <c r="D141">
        <v>22</v>
      </c>
      <c r="F141">
        <v>22</v>
      </c>
      <c r="G141" s="3">
        <v>58708</v>
      </c>
    </row>
    <row r="142" spans="1:8" x14ac:dyDescent="0.25">
      <c r="A142" t="s">
        <v>19</v>
      </c>
      <c r="B142" s="18">
        <v>43018</v>
      </c>
      <c r="C142" t="s">
        <v>4</v>
      </c>
      <c r="D142">
        <v>22</v>
      </c>
      <c r="F142">
        <v>22</v>
      </c>
      <c r="G142" s="3">
        <v>59966</v>
      </c>
    </row>
    <row r="143" spans="1:8" x14ac:dyDescent="0.25">
      <c r="A143" t="s">
        <v>19</v>
      </c>
      <c r="B143" s="18">
        <v>43020</v>
      </c>
      <c r="C143" t="s">
        <v>6</v>
      </c>
      <c r="D143">
        <v>30</v>
      </c>
      <c r="F143">
        <v>30</v>
      </c>
      <c r="G143" s="3">
        <v>58708</v>
      </c>
    </row>
    <row r="144" spans="1:8" x14ac:dyDescent="0.25">
      <c r="A144" t="s">
        <v>19</v>
      </c>
      <c r="B144" s="18">
        <v>43021</v>
      </c>
      <c r="C144" t="s">
        <v>7</v>
      </c>
      <c r="D144">
        <v>25</v>
      </c>
      <c r="F144">
        <v>25</v>
      </c>
      <c r="G144" s="3">
        <v>58684</v>
      </c>
    </row>
    <row r="145" spans="1:8" x14ac:dyDescent="0.25">
      <c r="A145" t="s">
        <v>19</v>
      </c>
      <c r="B145" s="18">
        <v>43022</v>
      </c>
      <c r="C145" t="s">
        <v>8</v>
      </c>
      <c r="D145">
        <v>30</v>
      </c>
      <c r="E145">
        <v>28</v>
      </c>
      <c r="F145">
        <v>58</v>
      </c>
      <c r="G145" s="3">
        <v>30126</v>
      </c>
    </row>
    <row r="146" spans="1:8" x14ac:dyDescent="0.25">
      <c r="A146" t="s">
        <v>19</v>
      </c>
      <c r="B146" s="18">
        <v>43024</v>
      </c>
      <c r="C146" t="s">
        <v>3</v>
      </c>
      <c r="D146">
        <v>28</v>
      </c>
      <c r="F146">
        <v>28</v>
      </c>
      <c r="G146" s="3">
        <v>58708</v>
      </c>
    </row>
    <row r="147" spans="1:8" x14ac:dyDescent="0.25">
      <c r="A147" t="s">
        <v>19</v>
      </c>
      <c r="B147" s="18">
        <v>43025</v>
      </c>
      <c r="C147" t="s">
        <v>4</v>
      </c>
      <c r="D147">
        <v>29.5</v>
      </c>
      <c r="F147">
        <v>29.5</v>
      </c>
      <c r="G147" s="3">
        <v>58708</v>
      </c>
    </row>
    <row r="148" spans="1:8" x14ac:dyDescent="0.25">
      <c r="A148" t="s">
        <v>19</v>
      </c>
      <c r="B148" s="18">
        <v>43026</v>
      </c>
      <c r="C148" t="s">
        <v>5</v>
      </c>
      <c r="D148">
        <v>29.5</v>
      </c>
      <c r="F148">
        <v>29.5</v>
      </c>
      <c r="G148" s="3">
        <v>60359</v>
      </c>
    </row>
    <row r="149" spans="1:8" x14ac:dyDescent="0.25">
      <c r="A149" t="s">
        <v>19</v>
      </c>
      <c r="B149" s="18">
        <v>43027</v>
      </c>
      <c r="C149" t="s">
        <v>6</v>
      </c>
      <c r="D149">
        <v>30</v>
      </c>
      <c r="F149">
        <v>30</v>
      </c>
      <c r="G149" s="3">
        <v>60295</v>
      </c>
    </row>
    <row r="150" spans="1:8" x14ac:dyDescent="0.25">
      <c r="A150" t="s">
        <v>19</v>
      </c>
      <c r="B150" s="18">
        <v>43028</v>
      </c>
      <c r="C150" t="s">
        <v>7</v>
      </c>
      <c r="D150">
        <v>28.5</v>
      </c>
      <c r="F150">
        <v>28.5</v>
      </c>
      <c r="G150" s="3">
        <v>58708</v>
      </c>
    </row>
    <row r="151" spans="1:8" x14ac:dyDescent="0.25">
      <c r="A151" t="s">
        <v>19</v>
      </c>
      <c r="B151" s="18">
        <v>43029</v>
      </c>
      <c r="C151" t="s">
        <v>8</v>
      </c>
      <c r="D151">
        <v>26</v>
      </c>
      <c r="F151">
        <v>26</v>
      </c>
      <c r="G151" s="3">
        <v>58708</v>
      </c>
    </row>
    <row r="152" spans="1:8" x14ac:dyDescent="0.25">
      <c r="A152" t="s">
        <v>19</v>
      </c>
      <c r="B152" s="18">
        <v>43034</v>
      </c>
      <c r="C152" t="s">
        <v>6</v>
      </c>
      <c r="D152">
        <v>28.5</v>
      </c>
      <c r="F152">
        <v>28.5</v>
      </c>
      <c r="G152" s="3">
        <v>58708</v>
      </c>
    </row>
    <row r="153" spans="1:8" x14ac:dyDescent="0.25">
      <c r="A153" t="s">
        <v>19</v>
      </c>
      <c r="B153" s="18">
        <v>43035</v>
      </c>
      <c r="C153" t="s">
        <v>7</v>
      </c>
      <c r="D153">
        <v>30</v>
      </c>
      <c r="F153">
        <v>30</v>
      </c>
      <c r="G153" s="3">
        <v>60642</v>
      </c>
    </row>
    <row r="154" spans="1:8" x14ac:dyDescent="0.25">
      <c r="A154" t="s">
        <v>19</v>
      </c>
      <c r="B154" s="18">
        <v>43038</v>
      </c>
      <c r="C154" t="s">
        <v>3</v>
      </c>
      <c r="D154">
        <v>20.5</v>
      </c>
      <c r="F154">
        <v>20.5</v>
      </c>
      <c r="G154" s="3">
        <v>58708</v>
      </c>
    </row>
    <row r="155" spans="1:8" x14ac:dyDescent="0.25">
      <c r="H155">
        <v>568.5</v>
      </c>
    </row>
  </sheetData>
  <sortState ref="A2:H17">
    <sortCondition ref="B2:B17"/>
  </sortState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workbookViewId="0">
      <selection activeCell="R20" sqref="R20"/>
    </sheetView>
  </sheetViews>
  <sheetFormatPr defaultRowHeight="15" x14ac:dyDescent="0.25"/>
  <cols>
    <col min="1" max="1" width="10.42578125" customWidth="1"/>
    <col min="2" max="2" width="12" customWidth="1"/>
  </cols>
  <sheetData>
    <row r="1" spans="1:4" x14ac:dyDescent="0.25">
      <c r="A1" s="34" t="s">
        <v>0</v>
      </c>
      <c r="B1" s="34" t="s">
        <v>1</v>
      </c>
      <c r="C1" s="34" t="s">
        <v>2</v>
      </c>
      <c r="D1" s="34" t="s">
        <v>67</v>
      </c>
    </row>
    <row r="2" spans="1:4" x14ac:dyDescent="0.25">
      <c r="A2" t="s">
        <v>19</v>
      </c>
      <c r="B2" s="18">
        <v>43013</v>
      </c>
      <c r="C2" s="3">
        <v>58684</v>
      </c>
      <c r="D2">
        <v>29</v>
      </c>
    </row>
    <row r="3" spans="1:4" x14ac:dyDescent="0.25">
      <c r="A3" t="s">
        <v>19</v>
      </c>
      <c r="B3" s="18">
        <v>43014</v>
      </c>
      <c r="C3" s="3">
        <v>58684</v>
      </c>
      <c r="D3">
        <v>29</v>
      </c>
    </row>
    <row r="4" spans="1:4" x14ac:dyDescent="0.25">
      <c r="A4" t="s">
        <v>19</v>
      </c>
      <c r="B4" s="18">
        <v>43015</v>
      </c>
      <c r="C4" s="3">
        <v>59966</v>
      </c>
      <c r="D4">
        <f>22+30</f>
        <v>52</v>
      </c>
    </row>
    <row r="5" spans="1:4" x14ac:dyDescent="0.25">
      <c r="A5" t="s">
        <v>19</v>
      </c>
      <c r="B5" s="18">
        <v>43016</v>
      </c>
      <c r="C5" s="3">
        <v>58708</v>
      </c>
      <c r="D5">
        <f>22+29</f>
        <v>51</v>
      </c>
    </row>
    <row r="6" spans="1:4" x14ac:dyDescent="0.25">
      <c r="A6" t="s">
        <v>19</v>
      </c>
      <c r="B6" s="18">
        <v>43017</v>
      </c>
      <c r="C6" s="3">
        <v>58708</v>
      </c>
      <c r="D6">
        <v>22</v>
      </c>
    </row>
    <row r="7" spans="1:4" x14ac:dyDescent="0.25">
      <c r="A7" t="s">
        <v>19</v>
      </c>
      <c r="B7" s="18">
        <v>43018</v>
      </c>
      <c r="C7" s="3">
        <v>59966</v>
      </c>
      <c r="D7">
        <v>22</v>
      </c>
    </row>
    <row r="8" spans="1:4" x14ac:dyDescent="0.25">
      <c r="A8" t="s">
        <v>19</v>
      </c>
      <c r="B8" s="18">
        <v>43020</v>
      </c>
      <c r="C8" s="3">
        <v>58708</v>
      </c>
      <c r="D8">
        <v>30</v>
      </c>
    </row>
    <row r="9" spans="1:4" x14ac:dyDescent="0.25">
      <c r="A9" t="s">
        <v>19</v>
      </c>
      <c r="B9" s="18">
        <v>43021</v>
      </c>
      <c r="C9" s="3">
        <v>58684</v>
      </c>
      <c r="D9">
        <v>25</v>
      </c>
    </row>
    <row r="10" spans="1:4" x14ac:dyDescent="0.25">
      <c r="A10" t="s">
        <v>19</v>
      </c>
      <c r="B10" s="18">
        <v>43022</v>
      </c>
      <c r="C10" s="3">
        <v>30126</v>
      </c>
      <c r="D10">
        <f>30+28</f>
        <v>58</v>
      </c>
    </row>
    <row r="11" spans="1:4" x14ac:dyDescent="0.25">
      <c r="A11" t="s">
        <v>19</v>
      </c>
      <c r="B11" s="18">
        <v>43024</v>
      </c>
      <c r="C11" s="3">
        <v>58708</v>
      </c>
      <c r="D11">
        <v>28</v>
      </c>
    </row>
    <row r="12" spans="1:4" x14ac:dyDescent="0.25">
      <c r="A12" t="s">
        <v>19</v>
      </c>
      <c r="B12" s="18">
        <v>43025</v>
      </c>
      <c r="C12" s="3">
        <v>58708</v>
      </c>
      <c r="D12">
        <v>29.5</v>
      </c>
    </row>
    <row r="13" spans="1:4" x14ac:dyDescent="0.25">
      <c r="A13" t="s">
        <v>19</v>
      </c>
      <c r="B13" s="18">
        <v>43026</v>
      </c>
      <c r="C13" s="3">
        <v>60359</v>
      </c>
      <c r="D13">
        <v>29.5</v>
      </c>
    </row>
    <row r="14" spans="1:4" x14ac:dyDescent="0.25">
      <c r="A14" t="s">
        <v>19</v>
      </c>
      <c r="B14" s="18">
        <v>43027</v>
      </c>
      <c r="C14" s="3">
        <v>60295</v>
      </c>
      <c r="D14">
        <v>30</v>
      </c>
    </row>
    <row r="15" spans="1:4" x14ac:dyDescent="0.25">
      <c r="A15" t="s">
        <v>19</v>
      </c>
      <c r="B15" s="18">
        <v>43028</v>
      </c>
      <c r="C15" s="3">
        <v>58708</v>
      </c>
      <c r="D15">
        <v>28.5</v>
      </c>
    </row>
    <row r="16" spans="1:4" x14ac:dyDescent="0.25">
      <c r="A16" t="s">
        <v>19</v>
      </c>
      <c r="B16" s="18">
        <v>43029</v>
      </c>
      <c r="C16" s="3">
        <v>58708</v>
      </c>
      <c r="D16">
        <v>26</v>
      </c>
    </row>
    <row r="17" spans="1:4" x14ac:dyDescent="0.25">
      <c r="A17" t="s">
        <v>19</v>
      </c>
      <c r="B17" s="18">
        <v>43034</v>
      </c>
      <c r="C17" s="3">
        <v>58708</v>
      </c>
      <c r="D17">
        <v>28.5</v>
      </c>
    </row>
    <row r="18" spans="1:4" x14ac:dyDescent="0.25">
      <c r="A18" t="s">
        <v>19</v>
      </c>
      <c r="B18" s="18">
        <v>43035</v>
      </c>
      <c r="C18" s="3">
        <v>60642</v>
      </c>
      <c r="D18">
        <v>30</v>
      </c>
    </row>
    <row r="19" spans="1:4" x14ac:dyDescent="0.25">
      <c r="A19" t="s">
        <v>19</v>
      </c>
      <c r="B19" s="18">
        <v>43038</v>
      </c>
      <c r="C19" s="3">
        <v>58708</v>
      </c>
      <c r="D19">
        <v>20.5</v>
      </c>
    </row>
    <row r="20" spans="1:4" x14ac:dyDescent="0.25">
      <c r="C20" t="s">
        <v>75</v>
      </c>
      <c r="D20">
        <f>SUM(D2:D19)</f>
        <v>568.5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H27" sqref="H27"/>
    </sheetView>
  </sheetViews>
  <sheetFormatPr defaultRowHeight="15" x14ac:dyDescent="0.25"/>
  <cols>
    <col min="1" max="1" width="10.5703125" customWidth="1"/>
    <col min="2" max="2" width="12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67</v>
      </c>
    </row>
    <row r="2" spans="1:4" x14ac:dyDescent="0.25">
      <c r="A2" t="s">
        <v>19</v>
      </c>
      <c r="B2" s="18">
        <v>42985</v>
      </c>
      <c r="C2" s="3">
        <v>58805</v>
      </c>
      <c r="D2">
        <v>30</v>
      </c>
    </row>
    <row r="3" spans="1:4" x14ac:dyDescent="0.25">
      <c r="A3" t="s">
        <v>19</v>
      </c>
      <c r="B3" s="18">
        <v>42986</v>
      </c>
      <c r="C3" s="3">
        <v>58805</v>
      </c>
      <c r="D3">
        <v>30</v>
      </c>
    </row>
    <row r="4" spans="1:4" x14ac:dyDescent="0.25">
      <c r="A4" t="s">
        <v>19</v>
      </c>
      <c r="B4" s="18">
        <v>42984</v>
      </c>
      <c r="C4" s="3">
        <v>59093</v>
      </c>
      <c r="D4">
        <v>30</v>
      </c>
    </row>
    <row r="5" spans="1:4" x14ac:dyDescent="0.25">
      <c r="A5" t="s">
        <v>19</v>
      </c>
      <c r="B5" s="18">
        <v>42989</v>
      </c>
      <c r="C5" s="3">
        <v>57448</v>
      </c>
      <c r="D5">
        <v>30</v>
      </c>
    </row>
    <row r="6" spans="1:4" x14ac:dyDescent="0.25">
      <c r="A6" t="s">
        <v>19</v>
      </c>
      <c r="B6" s="18">
        <v>42990</v>
      </c>
      <c r="C6" s="3">
        <v>59191</v>
      </c>
      <c r="D6">
        <v>30</v>
      </c>
    </row>
    <row r="7" spans="1:4" x14ac:dyDescent="0.25">
      <c r="A7" t="s">
        <v>19</v>
      </c>
      <c r="B7" s="18">
        <v>42994</v>
      </c>
      <c r="C7" s="3">
        <v>59111</v>
      </c>
      <c r="D7">
        <v>30</v>
      </c>
    </row>
    <row r="8" spans="1:4" x14ac:dyDescent="0.25">
      <c r="A8" t="s">
        <v>19</v>
      </c>
      <c r="B8" s="18">
        <v>42980</v>
      </c>
      <c r="C8" s="3">
        <v>58708</v>
      </c>
      <c r="D8">
        <v>30</v>
      </c>
    </row>
    <row r="9" spans="1:4" x14ac:dyDescent="0.25">
      <c r="A9" t="s">
        <v>19</v>
      </c>
      <c r="B9" s="18">
        <v>43002</v>
      </c>
      <c r="C9" s="3">
        <v>59435</v>
      </c>
      <c r="D9">
        <v>24</v>
      </c>
    </row>
    <row r="10" spans="1:4" x14ac:dyDescent="0.25">
      <c r="A10" t="s">
        <v>19</v>
      </c>
      <c r="B10" s="18">
        <v>42982</v>
      </c>
      <c r="C10" s="3">
        <v>57933</v>
      </c>
      <c r="D10">
        <v>30</v>
      </c>
    </row>
    <row r="11" spans="1:4" x14ac:dyDescent="0.25">
      <c r="A11" t="s">
        <v>19</v>
      </c>
      <c r="B11" s="18">
        <v>42979</v>
      </c>
      <c r="C11" s="3">
        <v>58209</v>
      </c>
      <c r="D11">
        <v>30</v>
      </c>
    </row>
    <row r="12" spans="1:4" x14ac:dyDescent="0.25">
      <c r="A12" t="s">
        <v>19</v>
      </c>
      <c r="B12" s="18">
        <v>42987</v>
      </c>
      <c r="C12" s="3">
        <v>59134</v>
      </c>
      <c r="D12">
        <v>28</v>
      </c>
    </row>
    <row r="13" spans="1:4" x14ac:dyDescent="0.25">
      <c r="A13" t="s">
        <v>19</v>
      </c>
      <c r="B13" s="18">
        <v>42996</v>
      </c>
      <c r="C13" s="3">
        <v>56935</v>
      </c>
      <c r="D13">
        <v>30</v>
      </c>
    </row>
    <row r="14" spans="1:4" x14ac:dyDescent="0.25">
      <c r="A14" t="s">
        <v>19</v>
      </c>
      <c r="B14" s="18">
        <v>43003</v>
      </c>
      <c r="C14" s="3">
        <v>58708</v>
      </c>
      <c r="D14">
        <v>30</v>
      </c>
    </row>
    <row r="15" spans="1:4" x14ac:dyDescent="0.25">
      <c r="A15" t="s">
        <v>19</v>
      </c>
      <c r="B15" s="18">
        <v>42997</v>
      </c>
      <c r="C15" s="3">
        <v>56935</v>
      </c>
      <c r="D15">
        <v>30</v>
      </c>
    </row>
    <row r="16" spans="1:4" x14ac:dyDescent="0.25">
      <c r="A16" t="s">
        <v>19</v>
      </c>
      <c r="B16" s="18">
        <v>42999</v>
      </c>
      <c r="C16" s="3">
        <v>59308</v>
      </c>
      <c r="D16">
        <v>30</v>
      </c>
    </row>
    <row r="17" spans="1:5" x14ac:dyDescent="0.25">
      <c r="A17" t="s">
        <v>19</v>
      </c>
      <c r="B17" s="18">
        <v>43000</v>
      </c>
      <c r="C17" s="3">
        <v>59308</v>
      </c>
      <c r="D17">
        <v>30</v>
      </c>
    </row>
    <row r="18" spans="1:5" x14ac:dyDescent="0.25">
      <c r="A18" t="s">
        <v>19</v>
      </c>
      <c r="B18" s="18">
        <v>42992</v>
      </c>
      <c r="C18" s="3">
        <v>56093</v>
      </c>
      <c r="D18">
        <v>30</v>
      </c>
    </row>
    <row r="19" spans="1:5" x14ac:dyDescent="0.25">
      <c r="A19" t="s">
        <v>19</v>
      </c>
      <c r="B19" s="18">
        <v>42998</v>
      </c>
      <c r="C19" s="3">
        <v>58209</v>
      </c>
      <c r="D19">
        <v>30</v>
      </c>
    </row>
    <row r="20" spans="1:5" x14ac:dyDescent="0.25">
      <c r="C20" s="3"/>
      <c r="E20">
        <v>532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G30" sqref="G30"/>
    </sheetView>
  </sheetViews>
  <sheetFormatPr defaultRowHeight="15" x14ac:dyDescent="0.25"/>
  <cols>
    <col min="1" max="1" width="10.28515625" customWidth="1"/>
    <col min="2" max="2" width="10.7109375" bestFit="1" customWidth="1"/>
    <col min="5" max="5" width="35.28515625" bestFit="1" customWidth="1"/>
    <col min="6" max="6" width="12" bestFit="1" customWidth="1"/>
  </cols>
  <sheetData>
    <row r="1" spans="1:6" x14ac:dyDescent="0.25">
      <c r="A1" s="6" t="s">
        <v>0</v>
      </c>
      <c r="B1" s="6" t="s">
        <v>1</v>
      </c>
      <c r="C1" s="6" t="s">
        <v>55</v>
      </c>
      <c r="D1" s="6" t="s">
        <v>57</v>
      </c>
      <c r="E1" s="19" t="s">
        <v>2</v>
      </c>
      <c r="F1" s="6" t="s">
        <v>56</v>
      </c>
    </row>
    <row r="2" spans="1:6" x14ac:dyDescent="0.25">
      <c r="A2" t="s">
        <v>19</v>
      </c>
      <c r="B2" s="18">
        <v>42857</v>
      </c>
      <c r="C2" t="s">
        <v>4</v>
      </c>
      <c r="D2">
        <v>30</v>
      </c>
      <c r="E2" s="3" t="s">
        <v>58</v>
      </c>
    </row>
    <row r="3" spans="1:6" x14ac:dyDescent="0.25">
      <c r="A3" t="s">
        <v>19</v>
      </c>
      <c r="B3" s="18">
        <v>42860</v>
      </c>
      <c r="C3" t="s">
        <v>7</v>
      </c>
      <c r="D3">
        <v>30</v>
      </c>
      <c r="E3" s="3">
        <v>54367</v>
      </c>
    </row>
    <row r="4" spans="1:6" x14ac:dyDescent="0.25">
      <c r="A4" t="s">
        <v>19</v>
      </c>
      <c r="B4" s="18">
        <v>42861</v>
      </c>
      <c r="C4" t="s">
        <v>8</v>
      </c>
      <c r="D4">
        <v>29</v>
      </c>
      <c r="E4" s="3">
        <v>54367</v>
      </c>
    </row>
    <row r="5" spans="1:6" x14ac:dyDescent="0.25">
      <c r="A5" t="s">
        <v>19</v>
      </c>
      <c r="B5" s="18">
        <v>42864</v>
      </c>
      <c r="C5" t="s">
        <v>4</v>
      </c>
      <c r="D5">
        <v>27</v>
      </c>
      <c r="E5" s="3">
        <v>54454</v>
      </c>
    </row>
    <row r="6" spans="1:6" x14ac:dyDescent="0.25">
      <c r="A6" t="s">
        <v>19</v>
      </c>
      <c r="B6" s="18">
        <v>42866</v>
      </c>
      <c r="C6" t="s">
        <v>6</v>
      </c>
      <c r="D6">
        <v>30</v>
      </c>
      <c r="E6" s="3">
        <v>54367</v>
      </c>
    </row>
    <row r="7" spans="1:6" x14ac:dyDescent="0.25">
      <c r="A7" t="s">
        <v>19</v>
      </c>
      <c r="B7" s="18">
        <v>42867</v>
      </c>
      <c r="C7" t="s">
        <v>7</v>
      </c>
      <c r="D7">
        <v>30</v>
      </c>
      <c r="E7" s="3">
        <v>54594</v>
      </c>
    </row>
    <row r="8" spans="1:6" x14ac:dyDescent="0.25">
      <c r="A8" t="s">
        <v>19</v>
      </c>
      <c r="B8" s="18">
        <v>42868</v>
      </c>
      <c r="C8" t="s">
        <v>8</v>
      </c>
      <c r="D8">
        <f>30+30</f>
        <v>60</v>
      </c>
      <c r="E8" s="3">
        <v>54954</v>
      </c>
    </row>
    <row r="9" spans="1:6" x14ac:dyDescent="0.25">
      <c r="A9" t="s">
        <v>19</v>
      </c>
      <c r="B9" s="18">
        <v>42870</v>
      </c>
      <c r="C9" t="s">
        <v>3</v>
      </c>
      <c r="D9">
        <v>30</v>
      </c>
      <c r="E9" s="3">
        <v>54954</v>
      </c>
    </row>
    <row r="10" spans="1:6" x14ac:dyDescent="0.25">
      <c r="A10" t="s">
        <v>19</v>
      </c>
      <c r="B10" s="18">
        <v>42871</v>
      </c>
      <c r="C10" t="s">
        <v>4</v>
      </c>
      <c r="D10">
        <v>29</v>
      </c>
      <c r="E10" s="3">
        <v>54594</v>
      </c>
    </row>
    <row r="11" spans="1:6" x14ac:dyDescent="0.25">
      <c r="A11" t="s">
        <v>19</v>
      </c>
      <c r="B11" s="18">
        <v>42872</v>
      </c>
      <c r="C11" t="s">
        <v>5</v>
      </c>
      <c r="D11">
        <v>27</v>
      </c>
      <c r="E11" s="3">
        <v>54594</v>
      </c>
    </row>
    <row r="12" spans="1:6" x14ac:dyDescent="0.25">
      <c r="A12" t="s">
        <v>19</v>
      </c>
      <c r="B12" s="18">
        <v>42873</v>
      </c>
      <c r="C12" t="s">
        <v>6</v>
      </c>
      <c r="D12">
        <v>30</v>
      </c>
      <c r="E12" s="3">
        <v>54178</v>
      </c>
    </row>
    <row r="13" spans="1:6" x14ac:dyDescent="0.25">
      <c r="A13" t="s">
        <v>19</v>
      </c>
      <c r="B13" s="18">
        <v>42875</v>
      </c>
      <c r="C13" t="s">
        <v>8</v>
      </c>
      <c r="D13">
        <f>30+27</f>
        <v>57</v>
      </c>
      <c r="E13" s="3" t="s">
        <v>59</v>
      </c>
    </row>
    <row r="14" spans="1:6" x14ac:dyDescent="0.25">
      <c r="A14" t="s">
        <v>19</v>
      </c>
      <c r="B14" s="18">
        <v>42876</v>
      </c>
      <c r="C14" t="s">
        <v>9</v>
      </c>
      <c r="D14">
        <v>30</v>
      </c>
      <c r="E14" s="3" t="s">
        <v>60</v>
      </c>
    </row>
    <row r="15" spans="1:6" x14ac:dyDescent="0.25">
      <c r="A15" t="s">
        <v>19</v>
      </c>
      <c r="B15" s="18">
        <v>42877</v>
      </c>
      <c r="C15" t="s">
        <v>3</v>
      </c>
      <c r="D15">
        <v>30</v>
      </c>
      <c r="E15" s="3">
        <v>53719</v>
      </c>
    </row>
    <row r="16" spans="1:6" x14ac:dyDescent="0.25">
      <c r="A16" t="s">
        <v>19</v>
      </c>
      <c r="B16" s="18">
        <v>42881</v>
      </c>
      <c r="C16" t="s">
        <v>7</v>
      </c>
      <c r="D16">
        <v>16.8</v>
      </c>
      <c r="E16" s="3">
        <v>53989</v>
      </c>
    </row>
    <row r="17" spans="1:6" x14ac:dyDescent="0.25">
      <c r="A17" t="s">
        <v>19</v>
      </c>
      <c r="B17" s="18">
        <v>42886</v>
      </c>
      <c r="C17" t="s">
        <v>5</v>
      </c>
      <c r="D17">
        <v>19.8</v>
      </c>
      <c r="E17" s="3">
        <v>55251</v>
      </c>
    </row>
    <row r="18" spans="1:6" x14ac:dyDescent="0.25">
      <c r="B18" s="18"/>
      <c r="E18" s="3"/>
      <c r="F18">
        <v>505.6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workbookViewId="0">
      <selection activeCell="G26" sqref="G26"/>
    </sheetView>
  </sheetViews>
  <sheetFormatPr defaultRowHeight="15" x14ac:dyDescent="0.25"/>
  <cols>
    <col min="1" max="1" width="9.85546875" bestFit="1" customWidth="1"/>
    <col min="2" max="2" width="10.7109375" bestFit="1" customWidth="1"/>
    <col min="3" max="3" width="9.42578125" bestFit="1" customWidth="1"/>
    <col min="4" max="4" width="5.42578125" bestFit="1" customWidth="1"/>
    <col min="5" max="5" width="12" bestFit="1" customWidth="1"/>
    <col min="11" max="11" width="10.7109375" bestFit="1" customWidth="1"/>
  </cols>
  <sheetData>
    <row r="1" spans="1:13" x14ac:dyDescent="0.25">
      <c r="A1" s="6" t="s">
        <v>0</v>
      </c>
      <c r="B1" s="6" t="s">
        <v>1</v>
      </c>
      <c r="C1" s="6" t="s">
        <v>55</v>
      </c>
      <c r="D1" s="6" t="s">
        <v>57</v>
      </c>
      <c r="E1" s="19" t="s">
        <v>2</v>
      </c>
      <c r="J1" s="6" t="s">
        <v>0</v>
      </c>
      <c r="K1" s="6" t="s">
        <v>1</v>
      </c>
      <c r="L1" s="19" t="s">
        <v>2</v>
      </c>
      <c r="M1" s="6" t="s">
        <v>64</v>
      </c>
    </row>
    <row r="2" spans="1:13" x14ac:dyDescent="0.25">
      <c r="A2" t="s">
        <v>19</v>
      </c>
      <c r="B2" s="18">
        <v>42917</v>
      </c>
      <c r="C2" t="s">
        <v>8</v>
      </c>
      <c r="D2">
        <v>55</v>
      </c>
      <c r="E2" s="3" t="s">
        <v>62</v>
      </c>
      <c r="J2" t="s">
        <v>19</v>
      </c>
      <c r="K2" s="18">
        <v>42922</v>
      </c>
      <c r="L2" s="3">
        <v>54907</v>
      </c>
      <c r="M2">
        <v>30</v>
      </c>
    </row>
    <row r="3" spans="1:13" x14ac:dyDescent="0.25">
      <c r="A3" t="s">
        <v>19</v>
      </c>
      <c r="B3" s="18">
        <v>42922</v>
      </c>
      <c r="C3" t="s">
        <v>6</v>
      </c>
      <c r="D3">
        <v>30</v>
      </c>
      <c r="E3" s="3">
        <v>54907</v>
      </c>
      <c r="J3" t="s">
        <v>19</v>
      </c>
      <c r="K3" s="18">
        <v>42923</v>
      </c>
      <c r="L3" s="3">
        <v>56330</v>
      </c>
      <c r="M3">
        <v>30</v>
      </c>
    </row>
    <row r="4" spans="1:13" x14ac:dyDescent="0.25">
      <c r="A4" t="s">
        <v>19</v>
      </c>
      <c r="B4" s="18">
        <v>42923</v>
      </c>
      <c r="C4" t="s">
        <v>7</v>
      </c>
      <c r="D4">
        <v>30</v>
      </c>
      <c r="E4" s="3">
        <v>56330</v>
      </c>
      <c r="J4" t="s">
        <v>19</v>
      </c>
      <c r="K4" s="18">
        <v>42926</v>
      </c>
      <c r="L4" s="3">
        <v>56988</v>
      </c>
      <c r="M4">
        <v>24</v>
      </c>
    </row>
    <row r="5" spans="1:13" x14ac:dyDescent="0.25">
      <c r="A5" t="s">
        <v>19</v>
      </c>
      <c r="B5" s="18">
        <v>42924</v>
      </c>
      <c r="C5" t="s">
        <v>8</v>
      </c>
      <c r="D5">
        <v>30</v>
      </c>
      <c r="E5" s="3">
        <v>56750</v>
      </c>
      <c r="J5" t="s">
        <v>19</v>
      </c>
      <c r="K5" s="18">
        <v>42927</v>
      </c>
      <c r="L5" s="3">
        <v>56301</v>
      </c>
      <c r="M5">
        <v>27</v>
      </c>
    </row>
    <row r="6" spans="1:13" x14ac:dyDescent="0.25">
      <c r="A6" t="s">
        <v>19</v>
      </c>
      <c r="B6" s="18">
        <v>42926</v>
      </c>
      <c r="C6" t="s">
        <v>3</v>
      </c>
      <c r="D6">
        <v>24</v>
      </c>
      <c r="E6" s="3">
        <v>56988</v>
      </c>
      <c r="J6" t="s">
        <v>19</v>
      </c>
      <c r="K6" s="18">
        <v>42928</v>
      </c>
      <c r="L6" s="3">
        <v>56608</v>
      </c>
      <c r="M6">
        <v>30</v>
      </c>
    </row>
    <row r="7" spans="1:13" x14ac:dyDescent="0.25">
      <c r="A7" t="s">
        <v>19</v>
      </c>
      <c r="B7" s="18">
        <v>42927</v>
      </c>
      <c r="C7" t="s">
        <v>4</v>
      </c>
      <c r="D7">
        <v>27</v>
      </c>
      <c r="E7" s="3">
        <v>56301</v>
      </c>
      <c r="J7" t="s">
        <v>19</v>
      </c>
      <c r="K7" s="18">
        <v>42929</v>
      </c>
      <c r="L7" s="3">
        <v>56073</v>
      </c>
      <c r="M7">
        <v>30</v>
      </c>
    </row>
    <row r="8" spans="1:13" x14ac:dyDescent="0.25">
      <c r="A8" t="s">
        <v>19</v>
      </c>
      <c r="B8" s="18">
        <v>42928</v>
      </c>
      <c r="C8" t="s">
        <v>5</v>
      </c>
      <c r="D8">
        <v>30</v>
      </c>
      <c r="E8" s="3">
        <v>56608</v>
      </c>
      <c r="J8" t="s">
        <v>19</v>
      </c>
      <c r="K8" s="18">
        <v>42930</v>
      </c>
      <c r="L8" s="3">
        <v>54412</v>
      </c>
      <c r="M8">
        <v>30</v>
      </c>
    </row>
    <row r="9" spans="1:13" x14ac:dyDescent="0.25">
      <c r="A9" t="s">
        <v>19</v>
      </c>
      <c r="B9" s="18">
        <v>42929</v>
      </c>
      <c r="C9" t="s">
        <v>6</v>
      </c>
      <c r="D9">
        <v>30</v>
      </c>
      <c r="E9" s="3">
        <v>56073</v>
      </c>
      <c r="J9" t="s">
        <v>19</v>
      </c>
      <c r="K9" s="18">
        <v>42931</v>
      </c>
      <c r="L9" s="3" t="s">
        <v>63</v>
      </c>
      <c r="M9">
        <v>30</v>
      </c>
    </row>
    <row r="10" spans="1:13" x14ac:dyDescent="0.25">
      <c r="A10" t="s">
        <v>19</v>
      </c>
      <c r="B10" s="18">
        <v>42930</v>
      </c>
      <c r="C10" t="s">
        <v>7</v>
      </c>
      <c r="D10">
        <v>30</v>
      </c>
      <c r="E10" s="3">
        <v>54412</v>
      </c>
      <c r="J10" t="s">
        <v>19</v>
      </c>
      <c r="K10" s="18">
        <v>42934</v>
      </c>
      <c r="L10" s="3">
        <v>54412</v>
      </c>
      <c r="M10">
        <v>30</v>
      </c>
    </row>
    <row r="11" spans="1:13" x14ac:dyDescent="0.25">
      <c r="A11" t="s">
        <v>19</v>
      </c>
      <c r="B11" s="18">
        <v>42931</v>
      </c>
      <c r="C11" t="s">
        <v>8</v>
      </c>
      <c r="D11">
        <v>30</v>
      </c>
      <c r="E11" s="3" t="s">
        <v>63</v>
      </c>
      <c r="J11" t="s">
        <v>19</v>
      </c>
      <c r="K11" s="18">
        <v>42935</v>
      </c>
      <c r="L11" s="3">
        <v>56812</v>
      </c>
      <c r="M11">
        <v>30</v>
      </c>
    </row>
    <row r="12" spans="1:13" x14ac:dyDescent="0.25">
      <c r="A12" t="s">
        <v>19</v>
      </c>
      <c r="B12" s="18">
        <v>42934</v>
      </c>
      <c r="C12" t="s">
        <v>4</v>
      </c>
      <c r="D12">
        <v>30</v>
      </c>
      <c r="E12" s="3">
        <v>54412</v>
      </c>
      <c r="J12" t="s">
        <v>19</v>
      </c>
      <c r="K12" s="18">
        <v>42937</v>
      </c>
      <c r="L12" s="3">
        <v>56988</v>
      </c>
      <c r="M12">
        <v>30</v>
      </c>
    </row>
    <row r="13" spans="1:13" x14ac:dyDescent="0.25">
      <c r="A13" t="s">
        <v>19</v>
      </c>
      <c r="B13" s="18">
        <v>42935</v>
      </c>
      <c r="C13" t="s">
        <v>5</v>
      </c>
      <c r="D13">
        <v>30</v>
      </c>
      <c r="E13" s="3">
        <v>56812</v>
      </c>
      <c r="J13" t="s">
        <v>19</v>
      </c>
      <c r="K13" s="18">
        <v>42940</v>
      </c>
      <c r="L13" s="3">
        <v>56812</v>
      </c>
      <c r="M13" s="29">
        <v>30</v>
      </c>
    </row>
    <row r="14" spans="1:13" x14ac:dyDescent="0.25">
      <c r="A14" t="s">
        <v>19</v>
      </c>
      <c r="B14" s="18">
        <v>42937</v>
      </c>
      <c r="C14" t="s">
        <v>7</v>
      </c>
      <c r="D14">
        <v>30</v>
      </c>
      <c r="E14" s="3">
        <v>56988</v>
      </c>
      <c r="J14" t="s">
        <v>19</v>
      </c>
      <c r="K14" s="18">
        <v>42941</v>
      </c>
      <c r="L14" s="3">
        <v>57127</v>
      </c>
      <c r="M14">
        <v>30</v>
      </c>
    </row>
    <row r="15" spans="1:13" x14ac:dyDescent="0.25">
      <c r="A15" t="s">
        <v>19</v>
      </c>
      <c r="B15" s="18">
        <v>42940</v>
      </c>
      <c r="C15" t="s">
        <v>3</v>
      </c>
      <c r="D15">
        <v>30</v>
      </c>
      <c r="E15" s="3">
        <v>56812</v>
      </c>
      <c r="J15" t="s">
        <v>19</v>
      </c>
      <c r="K15" s="18">
        <v>42943</v>
      </c>
      <c r="L15" s="3">
        <v>57010</v>
      </c>
      <c r="M15">
        <v>30</v>
      </c>
    </row>
    <row r="16" spans="1:13" x14ac:dyDescent="0.25">
      <c r="A16" t="s">
        <v>19</v>
      </c>
      <c r="B16" s="18">
        <v>42941</v>
      </c>
      <c r="C16" t="s">
        <v>4</v>
      </c>
      <c r="D16">
        <v>30</v>
      </c>
      <c r="E16" s="3">
        <v>57127</v>
      </c>
      <c r="J16" t="s">
        <v>19</v>
      </c>
      <c r="K16" s="18">
        <v>42944</v>
      </c>
      <c r="L16" s="3">
        <v>57307</v>
      </c>
      <c r="M16">
        <v>30</v>
      </c>
    </row>
    <row r="17" spans="1:13" x14ac:dyDescent="0.25">
      <c r="A17" t="s">
        <v>19</v>
      </c>
      <c r="B17" s="18">
        <v>42943</v>
      </c>
      <c r="C17" t="s">
        <v>6</v>
      </c>
      <c r="D17">
        <v>30</v>
      </c>
      <c r="E17" s="3">
        <v>57010</v>
      </c>
      <c r="K17" s="18"/>
      <c r="L17" s="3"/>
    </row>
    <row r="18" spans="1:13" x14ac:dyDescent="0.25">
      <c r="A18" t="s">
        <v>19</v>
      </c>
      <c r="B18" s="18">
        <v>42944</v>
      </c>
      <c r="C18" t="s">
        <v>7</v>
      </c>
      <c r="D18">
        <v>30</v>
      </c>
      <c r="E18" s="3">
        <v>57307</v>
      </c>
      <c r="M18">
        <f>SUM(M2:M17)</f>
        <v>441</v>
      </c>
    </row>
    <row r="19" spans="1:13" x14ac:dyDescent="0.25">
      <c r="A19" t="s">
        <v>19</v>
      </c>
      <c r="B19" s="18">
        <v>42945</v>
      </c>
      <c r="C19" t="s">
        <v>8</v>
      </c>
      <c r="D19">
        <v>30</v>
      </c>
      <c r="E19" s="3">
        <v>56907</v>
      </c>
    </row>
    <row r="20" spans="1:13" x14ac:dyDescent="0.25">
      <c r="D20">
        <f>SUM(D2:D19)</f>
        <v>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FeeInput</vt:lpstr>
      <vt:lpstr>8月餐补</vt:lpstr>
      <vt:lpstr>ListData</vt:lpstr>
      <vt:lpstr>MonthSummary</vt:lpstr>
      <vt:lpstr>10月</vt:lpstr>
      <vt:lpstr>9月餐补</vt:lpstr>
      <vt:lpstr>5月餐补</vt:lpstr>
      <vt:lpstr>7月餐补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mark1</cp:lastModifiedBy>
  <dcterms:created xsi:type="dcterms:W3CDTF">2006-09-16T00:00:00Z</dcterms:created>
  <dcterms:modified xsi:type="dcterms:W3CDTF">2017-10-31T03:04:08Z</dcterms:modified>
</cp:coreProperties>
</file>